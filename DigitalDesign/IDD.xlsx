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gaki1606\Documents\MOFC\DigitalDesign\"/>
    </mc:Choice>
  </mc:AlternateContent>
  <xr:revisionPtr revIDLastSave="0" documentId="13_ncr:1_{568A9E88-CAF4-490B-B4CF-8894D0B81497}" xr6:coauthVersionLast="36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Diag-Top" sheetId="4" r:id="rId1"/>
    <sheet name="Subunit1" sheetId="5" r:id="rId2"/>
    <sheet name="single channel" sheetId="6" r:id="rId3"/>
    <sheet name="Sheet1" sheetId="1" r:id="rId4"/>
    <sheet name="Sheet2" sheetId="2" r:id="rId5"/>
    <sheet name="Sheet3" sheetId="3" r:id="rId6"/>
  </sheets>
  <definedNames>
    <definedName name="_Toc160693716" localSheetId="4">Sheet2!$E$39</definedName>
    <definedName name="_Toc160693717" localSheetId="4">Sheet2!$E$38</definedName>
    <definedName name="_Toc160693718" localSheetId="4">Sheet2!$AI$41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6" i="2" l="1"/>
  <c r="I35" i="2"/>
  <c r="H16" i="2"/>
  <c r="H19" i="2" s="1"/>
  <c r="H14" i="2"/>
  <c r="I14" i="2" s="1"/>
  <c r="I13" i="2"/>
  <c r="I11" i="2"/>
  <c r="I10" i="2"/>
  <c r="I9" i="2"/>
  <c r="I8" i="2"/>
  <c r="I7" i="2"/>
  <c r="I6" i="2"/>
  <c r="I5" i="2"/>
  <c r="I4" i="2"/>
  <c r="I3" i="2"/>
  <c r="I19" i="2" l="1"/>
  <c r="H22" i="2"/>
  <c r="H17" i="2"/>
  <c r="I16" i="2"/>
  <c r="I17" i="2" l="1"/>
  <c r="H20" i="2"/>
  <c r="I22" i="2"/>
  <c r="H25" i="2"/>
  <c r="H28" i="2" l="1"/>
  <c r="I25" i="2"/>
  <c r="I20" i="2"/>
  <c r="H23" i="2"/>
  <c r="I23" i="2" l="1"/>
  <c r="H26" i="2"/>
  <c r="H31" i="2"/>
  <c r="I28" i="2"/>
  <c r="H34" i="2" l="1"/>
  <c r="I34" i="2" s="1"/>
  <c r="I31" i="2"/>
  <c r="H29" i="2"/>
  <c r="I26" i="2"/>
  <c r="H32" i="2" l="1"/>
  <c r="I32" i="2" s="1"/>
  <c r="I29" i="2"/>
</calcChain>
</file>

<file path=xl/sharedStrings.xml><?xml version="1.0" encoding="utf-8"?>
<sst xmlns="http://schemas.openxmlformats.org/spreadsheetml/2006/main" count="234" uniqueCount="175">
  <si>
    <t>Q1Lo1</t>
  </si>
  <si>
    <t>Q1Lo2</t>
  </si>
  <si>
    <t>Q1Lo3</t>
  </si>
  <si>
    <t>Q1_CH1_LO_FREQ</t>
  </si>
  <si>
    <t>Q1Lo4</t>
  </si>
  <si>
    <t>Q1_CH2_LO_FREQ</t>
  </si>
  <si>
    <t>Q1_CH3_LO_FREQ</t>
  </si>
  <si>
    <t>Q1_CH4_LO_FREQ</t>
  </si>
  <si>
    <t>Q1C1</t>
  </si>
  <si>
    <t>Bit/ANT</t>
  </si>
  <si>
    <t>DCA ADRF5720</t>
  </si>
  <si>
    <t>LMX2595</t>
  </si>
  <si>
    <t>Attenuation range: 0.5 dB steps to 31.5 dB</t>
  </si>
  <si>
    <t>DCA1</t>
  </si>
  <si>
    <t>DCA2</t>
  </si>
  <si>
    <t>Mux 2:1</t>
  </si>
  <si>
    <t>DIRECT/CONVERT</t>
  </si>
  <si>
    <t>CONV2_6/CONV2_18</t>
  </si>
  <si>
    <t>Mux2:1</t>
  </si>
  <si>
    <t>DIRECT_gt0.5/DIRECTgt2</t>
  </si>
  <si>
    <t>Mux4:1</t>
  </si>
  <si>
    <t>FilterSelect1</t>
  </si>
  <si>
    <t>FilterSelect2</t>
  </si>
  <si>
    <t>pllic</t>
  </si>
  <si>
    <t>bit</t>
  </si>
  <si>
    <t>Bit freq</t>
  </si>
  <si>
    <t>Pulse/CW</t>
  </si>
  <si>
    <t>16??</t>
  </si>
  <si>
    <t>CH1_LO_FREQ</t>
  </si>
  <si>
    <t>CH1_MUXCTLR</t>
  </si>
  <si>
    <t>CH2_LO_FREQ</t>
  </si>
  <si>
    <t>CH2_MUXCTLR</t>
  </si>
  <si>
    <t>CH3_LO_FREQ</t>
  </si>
  <si>
    <t>CH3_MUXCTLR</t>
  </si>
  <si>
    <t>CH4_LO_FREQ</t>
  </si>
  <si>
    <t>CH4_MUXCTLR</t>
  </si>
  <si>
    <t>CH1_4_DCA0</t>
  </si>
  <si>
    <t>CH1_4_DCA_1</t>
  </si>
  <si>
    <t>BitFreq, Puilse/CW. DCA</t>
  </si>
  <si>
    <t>BITSELCFG</t>
  </si>
  <si>
    <t>Q1-Config</t>
  </si>
  <si>
    <t>Q2-Config</t>
  </si>
  <si>
    <t>CH1_4_DCA1</t>
  </si>
  <si>
    <t>Q1_CH1_MUXCTLR</t>
  </si>
  <si>
    <t>Q1_CH2_MUXCTLR</t>
  </si>
  <si>
    <t>Q1_CH3_MUXCTLR</t>
  </si>
  <si>
    <t>Q1_CH4_MUXCTLR</t>
  </si>
  <si>
    <t>Q2_CH1_MUXCTLR</t>
  </si>
  <si>
    <t>Q2_CH1_LO_FREQ</t>
  </si>
  <si>
    <t>Q2_CH2_LO_FREQ</t>
  </si>
  <si>
    <t>Q2_CH2_MUXCTLR</t>
  </si>
  <si>
    <t>Q2_CH3_MUXCTLR</t>
  </si>
  <si>
    <t>Q2_CH3_LO_FREQ</t>
  </si>
  <si>
    <t>Q2_CH4_MUXCTLR</t>
  </si>
  <si>
    <t>Q2_CH4_LO_FREQ</t>
  </si>
  <si>
    <t>Q1_CH4_DCA0</t>
  </si>
  <si>
    <t>Q1_CH3_DCA0</t>
  </si>
  <si>
    <t>Q1_CH2_DCA0</t>
  </si>
  <si>
    <t>Q1_CH1_DCA0</t>
  </si>
  <si>
    <t>Q1_CH3_DCA1</t>
  </si>
  <si>
    <t>Q1_CH2_DCA1</t>
  </si>
  <si>
    <t>Q1_CH1_DCA1</t>
  </si>
  <si>
    <t>Q2_CH4_DCA0</t>
  </si>
  <si>
    <t>Q2_CH3_DCA0</t>
  </si>
  <si>
    <t>Q2_CH2_DCA0</t>
  </si>
  <si>
    <t>Q2_CH1_DCA0</t>
  </si>
  <si>
    <t>Q2_CH3_DCA1</t>
  </si>
  <si>
    <t>Q2_CH2_DCA1</t>
  </si>
  <si>
    <t>Q2_CH1_DCA1</t>
  </si>
  <si>
    <t>BIT-FREQ</t>
  </si>
  <si>
    <t>BIT_DCA</t>
  </si>
  <si>
    <t>Q1_CH4_DCA1</t>
  </si>
  <si>
    <t>Q2_CH4_DCA1</t>
  </si>
  <si>
    <t>p/cw</t>
  </si>
  <si>
    <t>Q1 CONFIGS</t>
  </si>
  <si>
    <t>Q1_CH1_CONFIGS</t>
  </si>
  <si>
    <t>Q1_CH2_CONFIGS</t>
  </si>
  <si>
    <t>Q1_CH3_CONFIGS</t>
  </si>
  <si>
    <t>Q1_CH4_CONFIGS</t>
  </si>
  <si>
    <t>Q2_CH1_CONFIGS</t>
  </si>
  <si>
    <t>Q2_CH2_CONFIGS</t>
  </si>
  <si>
    <t>Q2_CH3_CONFIGS</t>
  </si>
  <si>
    <t>Q2_CH4_CONFIGS</t>
  </si>
  <si>
    <t>Q2 CONFIGS</t>
  </si>
  <si>
    <t>BITCFGS</t>
  </si>
  <si>
    <t>Bit Attenuation</t>
  </si>
  <si>
    <t>On/OFF</t>
  </si>
  <si>
    <t>SU1</t>
  </si>
  <si>
    <t>LO</t>
  </si>
  <si>
    <t>Step-size = 4Mhz??</t>
  </si>
  <si>
    <t>LO_MODE</t>
  </si>
  <si>
    <t>0x0: Sperate chennels
0x1: Common SU
0x2: Common 8 channels</t>
  </si>
  <si>
    <t>IF_OUT_BAND_SEL</t>
  </si>
  <si>
    <t>2.75-4.75</t>
  </si>
  <si>
    <t>BIT/ANT</t>
  </si>
  <si>
    <t>2-6</t>
  </si>
  <si>
    <t>6-18</t>
  </si>
  <si>
    <t>Direct_0.5-4.75</t>
  </si>
  <si>
    <t>Direct_2-4.75</t>
  </si>
  <si>
    <t>0-BIT 1- ANT</t>
  </si>
  <si>
    <t>RF_IN_BAND_SEL</t>
  </si>
  <si>
    <t>OPMODE</t>
  </si>
  <si>
    <t>A[6:0]</t>
  </si>
  <si>
    <t>D[23:0]</t>
  </si>
  <si>
    <t>[30:24]</t>
  </si>
  <si>
    <t>R/W</t>
  </si>
  <si>
    <t>Status</t>
  </si>
  <si>
    <t>LCK1</t>
  </si>
  <si>
    <t>LCK2</t>
  </si>
  <si>
    <t>LCK3</t>
  </si>
  <si>
    <t>LCK4</t>
  </si>
  <si>
    <t>LCk5</t>
  </si>
  <si>
    <t>LCk6</t>
  </si>
  <si>
    <t>LCK7</t>
  </si>
  <si>
    <t>LCK8</t>
  </si>
  <si>
    <t>BLCK</t>
  </si>
  <si>
    <t>BIT-DCA</t>
  </si>
  <si>
    <t>P/CW</t>
  </si>
  <si>
    <t>ALCK</t>
  </si>
  <si>
    <t>BIT-Config</t>
  </si>
  <si>
    <t>Global config register</t>
  </si>
  <si>
    <t>Temperature</t>
  </si>
  <si>
    <t>VER_ID</t>
  </si>
  <si>
    <t>VER-YEAR</t>
  </si>
  <si>
    <t>VER-MONTH</t>
  </si>
  <si>
    <t>VER-DAY</t>
  </si>
  <si>
    <t>RO</t>
  </si>
  <si>
    <t>TEST_REG</t>
  </si>
  <si>
    <t>DATA[23:0]</t>
  </si>
  <si>
    <t>LOAD</t>
  </si>
  <si>
    <t>LOAD_RF_SETUP</t>
  </si>
  <si>
    <t>CHKSUM</t>
  </si>
  <si>
    <t>WO</t>
  </si>
  <si>
    <t>CHECKSUM</t>
  </si>
  <si>
    <t>RFRDY</t>
  </si>
  <si>
    <t>FPGA_VER_REG</t>
  </si>
  <si>
    <t>SERIAL_NUM</t>
  </si>
  <si>
    <t>SERIAL_NUMBER</t>
  </si>
  <si>
    <t>Command</t>
  </si>
  <si>
    <t>PGOOD</t>
  </si>
  <si>
    <t>addr</t>
  </si>
  <si>
    <t>TF_ID</t>
  </si>
  <si>
    <t>TF_SPI_ADDR</t>
  </si>
  <si>
    <t>TF_SPI_DATA</t>
  </si>
  <si>
    <t>INDRCT_TF_ACCESS</t>
  </si>
  <si>
    <t>CH_ID</t>
  </si>
  <si>
    <t>TF_READ_VALUE</t>
  </si>
  <si>
    <t>TF_READ_DATA</t>
  </si>
  <si>
    <t>CH1_CFG_REG1</t>
  </si>
  <si>
    <t>….</t>
  </si>
  <si>
    <t>CH1_CFG_REG8</t>
  </si>
  <si>
    <t>channel 1 configuration icluding: DCA values, Muxes control, Tunable filter control</t>
  </si>
  <si>
    <t>CH2_CFG_REG1</t>
  </si>
  <si>
    <t>CH2_CFG_REG8</t>
  </si>
  <si>
    <t>CH3_CFG_REG1</t>
  </si>
  <si>
    <t>CH3_CFG_REG8</t>
  </si>
  <si>
    <t>CH4_CFG_REG1</t>
  </si>
  <si>
    <t>CH4_CFG_REG8</t>
  </si>
  <si>
    <t>CH5_CFG_REG1</t>
  </si>
  <si>
    <t>CH5_CFG_REG8</t>
  </si>
  <si>
    <t>CH6_CFG_REG1</t>
  </si>
  <si>
    <t>CH6_CFG_REG8</t>
  </si>
  <si>
    <t>CK_STAT</t>
  </si>
  <si>
    <t>channel 2 configuration icluding: DCA values, Muxes control, Tunable filter control</t>
  </si>
  <si>
    <t>channel 3 configuration icluding: DCA values, Muxes control, Tunable filter control</t>
  </si>
  <si>
    <t>channel 4 configuration icluding: DCA values, Muxes control, Tunable filter control</t>
  </si>
  <si>
    <t>channel 5 configuration icluding: DCA values, Muxes control, Tunable filter control</t>
  </si>
  <si>
    <t>channel 6 configuration icluding: DCA values, Muxes control, Tunable filter control</t>
  </si>
  <si>
    <t>channel 7 configuration icluding: DCA values, Muxes control, Tunable filter control</t>
  </si>
  <si>
    <t>channel 8 configuration icluding: DCA values, Muxes control, Tunable filter control</t>
  </si>
  <si>
    <t>CH7_CFG_REG1</t>
  </si>
  <si>
    <t>CH7_CFG_REG8</t>
  </si>
  <si>
    <t>CH8_CFG_REG1</t>
  </si>
  <si>
    <t>CH8_CFG_REG8</t>
  </si>
  <si>
    <t>LO2_LCK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</si>
</sst>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rial"/>
      <family val="2"/>
      <scheme val="minor"/>
    </font>
    <font>
      <sz val="9"/>
      <color rgb="FF000000"/>
      <name val="Arial"/>
      <family val="2"/>
    </font>
    <font>
      <b/>
      <sz val="9"/>
      <color rgb="FF000000"/>
      <name val="MyriadPro-Bold"/>
    </font>
    <font>
      <sz val="11"/>
      <color theme="1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5700"/>
      <name val="Arial"/>
      <family val="2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3" borderId="0" applyNumberFormat="0" applyBorder="0" applyAlignment="0" applyProtection="0"/>
    <xf numFmtId="0" fontId="5" fillId="4" borderId="0" applyNumberFormat="0" applyBorder="0" applyAlignment="0" applyProtection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textRotation="180"/>
    </xf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6" fillId="0" borderId="0" xfId="0" applyFont="1" applyAlignment="1">
      <alignment horizontal="left" vertical="center" indent="8"/>
    </xf>
    <xf numFmtId="0" fontId="4" fillId="3" borderId="1" xfId="1" applyBorder="1" applyAlignment="1">
      <alignment horizontal="center" vertical="center"/>
    </xf>
    <xf numFmtId="49" fontId="0" fillId="0" borderId="0" xfId="0" applyNumberFormat="1" applyBorder="1"/>
    <xf numFmtId="49" fontId="4" fillId="3" borderId="1" xfId="1" applyNumberForma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7" fillId="0" borderId="1" xfId="0" applyNumberFormat="1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3" fillId="4" borderId="1" xfId="2" applyFont="1" applyBorder="1" applyAlignment="1">
      <alignment horizontal="center" vertical="center"/>
    </xf>
    <xf numFmtId="49" fontId="3" fillId="4" borderId="1" xfId="2" applyNumberFormat="1" applyFont="1" applyBorder="1" applyAlignment="1">
      <alignment horizontal="center" vertical="center"/>
    </xf>
    <xf numFmtId="46" fontId="3" fillId="4" borderId="1" xfId="2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textRotation="180"/>
    </xf>
    <xf numFmtId="0" fontId="0" fillId="0" borderId="0" xfId="0" applyAlignment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3" borderId="1" xfId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2" xfId="0" applyFill="1" applyBorder="1"/>
    <xf numFmtId="0" fontId="0" fillId="2" borderId="3" xfId="0" applyFill="1" applyBorder="1"/>
    <xf numFmtId="0" fontId="0" fillId="0" borderId="0" xfId="0"/>
    <xf numFmtId="0" fontId="0" fillId="0" borderId="4" xfId="0" applyBorder="1"/>
    <xf numFmtId="2" fontId="0" fillId="4" borderId="1" xfId="2" applyNumberFormat="1" applyFont="1" applyBorder="1" applyAlignment="1">
      <alignment horizontal="center" vertical="center"/>
    </xf>
    <xf numFmtId="2" fontId="4" fillId="3" borderId="1" xfId="1" applyNumberFormat="1" applyBorder="1" applyAlignment="1">
      <alignment horizontal="center" vertical="center"/>
    </xf>
    <xf numFmtId="2" fontId="0" fillId="0" borderId="0" xfId="0" applyNumberFormat="1" applyBorder="1"/>
    <xf numFmtId="1" fontId="7" fillId="0" borderId="1" xfId="0" applyNumberFormat="1" applyFont="1" applyBorder="1" applyAlignment="1">
      <alignment vertical="center"/>
    </xf>
    <xf numFmtId="0" fontId="7" fillId="0" borderId="5" xfId="0" applyFont="1" applyBorder="1" applyAlignment="1">
      <alignment horizontal="center" vertical="center"/>
    </xf>
    <xf numFmtId="0" fontId="9" fillId="7" borderId="5" xfId="0" applyFont="1" applyFill="1" applyBorder="1" applyAlignment="1">
      <alignment vertical="center"/>
    </xf>
    <xf numFmtId="0" fontId="9" fillId="7" borderId="3" xfId="0" applyFont="1" applyFill="1" applyBorder="1" applyAlignment="1">
      <alignment vertical="center"/>
    </xf>
    <xf numFmtId="0" fontId="0" fillId="7" borderId="6" xfId="0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49" fontId="7" fillId="0" borderId="7" xfId="0" applyNumberFormat="1" applyFont="1" applyBorder="1" applyAlignment="1">
      <alignment vertical="center"/>
    </xf>
    <xf numFmtId="1" fontId="7" fillId="0" borderId="7" xfId="0" applyNumberFormat="1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7" fillId="6" borderId="7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49" fontId="7" fillId="7" borderId="9" xfId="0" applyNumberFormat="1" applyFont="1" applyFill="1" applyBorder="1" applyAlignment="1">
      <alignment vertical="center"/>
    </xf>
    <xf numFmtId="1" fontId="7" fillId="7" borderId="9" xfId="0" applyNumberFormat="1" applyFont="1" applyFill="1" applyBorder="1" applyAlignment="1">
      <alignment vertical="center"/>
    </xf>
    <xf numFmtId="0" fontId="7" fillId="7" borderId="9" xfId="0" applyFont="1" applyFill="1" applyBorder="1" applyAlignment="1">
      <alignment vertical="center"/>
    </xf>
    <xf numFmtId="0" fontId="7" fillId="7" borderId="10" xfId="0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7" fillId="7" borderId="15" xfId="0" applyFont="1" applyFill="1" applyBorder="1" applyAlignment="1">
      <alignment horizontal="center" vertical="center"/>
    </xf>
    <xf numFmtId="49" fontId="7" fillId="7" borderId="16" xfId="0" applyNumberFormat="1" applyFont="1" applyFill="1" applyBorder="1" applyAlignment="1">
      <alignment vertical="center"/>
    </xf>
    <xf numFmtId="1" fontId="7" fillId="7" borderId="16" xfId="0" applyNumberFormat="1" applyFont="1" applyFill="1" applyBorder="1" applyAlignment="1">
      <alignment vertical="center"/>
    </xf>
    <xf numFmtId="0" fontId="7" fillId="7" borderId="16" xfId="0" applyFont="1" applyFill="1" applyBorder="1" applyAlignment="1">
      <alignment vertical="center"/>
    </xf>
    <xf numFmtId="0" fontId="0" fillId="7" borderId="17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" fillId="8" borderId="8" xfId="0" applyFont="1" applyFill="1" applyBorder="1" applyAlignment="1">
      <alignment horizontal="center" vertical="center"/>
    </xf>
    <xf numFmtId="49" fontId="7" fillId="8" borderId="9" xfId="0" applyNumberFormat="1" applyFont="1" applyFill="1" applyBorder="1" applyAlignment="1">
      <alignment vertical="center"/>
    </xf>
    <xf numFmtId="1" fontId="7" fillId="8" borderId="9" xfId="0" applyNumberFormat="1" applyFont="1" applyFill="1" applyBorder="1" applyAlignment="1">
      <alignment vertical="center"/>
    </xf>
    <xf numFmtId="0" fontId="7" fillId="8" borderId="9" xfId="0" applyFont="1" applyFill="1" applyBorder="1" applyAlignment="1">
      <alignment vertical="center"/>
    </xf>
    <xf numFmtId="0" fontId="7" fillId="8" borderId="10" xfId="0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vertical="center"/>
    </xf>
    <xf numFmtId="0" fontId="9" fillId="8" borderId="3" xfId="0" applyFont="1" applyFill="1" applyBorder="1" applyAlignment="1">
      <alignment vertical="center"/>
    </xf>
    <xf numFmtId="0" fontId="0" fillId="8" borderId="6" xfId="0" applyFill="1" applyBorder="1" applyAlignment="1">
      <alignment horizontal="center" vertical="center"/>
    </xf>
    <xf numFmtId="0" fontId="0" fillId="8" borderId="0" xfId="0" applyFill="1" applyBorder="1" applyAlignment="1">
      <alignment horizontal="center" vertical="center"/>
    </xf>
    <xf numFmtId="0" fontId="0" fillId="8" borderId="14" xfId="0" applyFill="1" applyBorder="1" applyAlignment="1">
      <alignment horizontal="center" vertical="center"/>
    </xf>
    <xf numFmtId="0" fontId="7" fillId="8" borderId="15" xfId="0" applyFont="1" applyFill="1" applyBorder="1" applyAlignment="1">
      <alignment horizontal="center" vertical="center"/>
    </xf>
    <xf numFmtId="49" fontId="7" fillId="8" borderId="16" xfId="0" applyNumberFormat="1" applyFont="1" applyFill="1" applyBorder="1" applyAlignment="1">
      <alignment vertical="center"/>
    </xf>
    <xf numFmtId="1" fontId="7" fillId="8" borderId="16" xfId="0" applyNumberFormat="1" applyFont="1" applyFill="1" applyBorder="1" applyAlignment="1">
      <alignment vertical="center"/>
    </xf>
    <xf numFmtId="0" fontId="7" fillId="8" borderId="16" xfId="0" applyFont="1" applyFill="1" applyBorder="1" applyAlignment="1">
      <alignment vertical="center"/>
    </xf>
    <xf numFmtId="0" fontId="0" fillId="8" borderId="17" xfId="0" applyFill="1" applyBorder="1" applyAlignment="1">
      <alignment horizontal="center" vertical="center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144597</xdr:colOff>
      <xdr:row>40</xdr:row>
      <xdr:rowOff>86801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72376-86DE-739F-7171-F5401B95DD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288972" cy="7706801"/>
        </a:xfrm>
        <a:prstGeom prst="rect">
          <a:avLst/>
        </a:prstGeom>
      </xdr:spPr>
    </xdr:pic>
    <xdr:clientData/>
  </xdr:twoCellAnchor>
  <xdr:twoCellAnchor editAs="oneCell">
    <xdr:from>
      <xdr:col>21</xdr:col>
      <xdr:colOff>81641</xdr:colOff>
      <xdr:row>23</xdr:row>
      <xdr:rowOff>178130</xdr:rowOff>
    </xdr:from>
    <xdr:to>
      <xdr:col>42</xdr:col>
      <xdr:colOff>163122</xdr:colOff>
      <xdr:row>67</xdr:row>
      <xdr:rowOff>84037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B78A81A-0F25-4F1B-8F50-9A2D2FF09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10505" y="4559630"/>
          <a:ext cx="12810344" cy="82879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86591</xdr:colOff>
      <xdr:row>0</xdr:row>
      <xdr:rowOff>0</xdr:rowOff>
    </xdr:from>
    <xdr:to>
      <xdr:col>25</xdr:col>
      <xdr:colOff>301581</xdr:colOff>
      <xdr:row>42</xdr:row>
      <xdr:rowOff>153538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5811E85-374B-D351-6AE4-F3E402B9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8864" y="0"/>
          <a:ext cx="14156126" cy="815453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0</xdr:row>
      <xdr:rowOff>0</xdr:rowOff>
    </xdr:from>
    <xdr:to>
      <xdr:col>27</xdr:col>
      <xdr:colOff>402337</xdr:colOff>
      <xdr:row>20</xdr:row>
      <xdr:rowOff>532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F2935-FB68-4DCE-600E-EEC555F87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0" y="0"/>
          <a:ext cx="16385287" cy="3810532"/>
        </a:xfrm>
        <a:prstGeom prst="rect">
          <a:avLst/>
        </a:prstGeom>
      </xdr:spPr>
    </xdr:pic>
    <xdr:clientData/>
  </xdr:twoCellAnchor>
  <xdr:twoCellAnchor editAs="oneCell">
    <xdr:from>
      <xdr:col>2</xdr:col>
      <xdr:colOff>178252</xdr:colOff>
      <xdr:row>25</xdr:row>
      <xdr:rowOff>53410</xdr:rowOff>
    </xdr:from>
    <xdr:to>
      <xdr:col>18</xdr:col>
      <xdr:colOff>122603</xdr:colOff>
      <xdr:row>48</xdr:row>
      <xdr:rowOff>155816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2C0860-CC08-9E55-3A17-08F02ED93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2895" y="4815910"/>
          <a:ext cx="9741494" cy="44839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8DDC-E2E2-4FDE-9CF5-FDA29B6BF40A}">
  <dimension ref="A1"/>
  <sheetViews>
    <sheetView topLeftCell="W45" zoomScale="130" zoomScaleNormal="130" workbookViewId="0">
      <selection activeCell="G13" sqref="G13"/>
    </sheetView>
  </sheetViews>
  <sheetFormatPr defaultRowHeight="14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1CDA-A2B6-44BF-B062-CFA9683860B2}">
  <dimension ref="A1"/>
  <sheetViews>
    <sheetView zoomScale="40" zoomScaleNormal="40" workbookViewId="0"/>
  </sheetViews>
  <sheetFormatPr defaultRowHeight="14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5AF4B-12D9-4953-826E-2CDB673E7543}">
  <dimension ref="AC22:AE37"/>
  <sheetViews>
    <sheetView zoomScale="85" zoomScaleNormal="85" workbookViewId="0">
      <selection activeCell="AD28" sqref="AD28"/>
    </sheetView>
  </sheetViews>
  <sheetFormatPr defaultRowHeight="14.25"/>
  <cols>
    <col min="30" max="30" width="19.375" style="7" customWidth="1"/>
    <col min="31" max="31" width="18.25" style="7" customWidth="1"/>
  </cols>
  <sheetData>
    <row r="22" spans="29:31">
      <c r="AC22">
        <v>1</v>
      </c>
      <c r="AD22" s="7" t="s">
        <v>94</v>
      </c>
      <c r="AE22" s="7" t="s">
        <v>99</v>
      </c>
    </row>
    <row r="23" spans="29:31">
      <c r="AC23">
        <v>1</v>
      </c>
      <c r="AD23" s="7" t="s">
        <v>92</v>
      </c>
      <c r="AE23" s="7" t="s">
        <v>93</v>
      </c>
    </row>
    <row r="24" spans="29:31">
      <c r="AC24">
        <v>2</v>
      </c>
      <c r="AD24" s="7" t="s">
        <v>100</v>
      </c>
      <c r="AE24" s="7" t="s">
        <v>95</v>
      </c>
    </row>
    <row r="25" spans="29:31">
      <c r="AE25" s="7" t="s">
        <v>96</v>
      </c>
    </row>
    <row r="26" spans="29:31">
      <c r="AE26" s="7" t="s">
        <v>97</v>
      </c>
    </row>
    <row r="27" spans="29:31">
      <c r="AE27" s="7" t="s">
        <v>98</v>
      </c>
    </row>
    <row r="32" spans="29:31">
      <c r="AD32"/>
      <c r="AE32"/>
    </row>
    <row r="33" spans="30:31">
      <c r="AD33" t="s">
        <v>16</v>
      </c>
      <c r="AE33" t="s">
        <v>15</v>
      </c>
    </row>
    <row r="34" spans="30:31">
      <c r="AD34" t="s">
        <v>17</v>
      </c>
      <c r="AE34" t="s">
        <v>18</v>
      </c>
    </row>
    <row r="35" spans="30:31">
      <c r="AD35" t="s">
        <v>19</v>
      </c>
      <c r="AE35" t="s">
        <v>18</v>
      </c>
    </row>
    <row r="36" spans="30:31">
      <c r="AD36" t="s">
        <v>21</v>
      </c>
      <c r="AE36" t="s">
        <v>20</v>
      </c>
    </row>
    <row r="37" spans="30:31">
      <c r="AD37" t="s">
        <v>22</v>
      </c>
      <c r="AE3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4"/>
  <sheetViews>
    <sheetView workbookViewId="0">
      <selection activeCell="F16" sqref="F16:G21"/>
    </sheetView>
  </sheetViews>
  <sheetFormatPr defaultRowHeight="14.25"/>
  <cols>
    <col min="4" max="4" width="12.25" customWidth="1"/>
    <col min="6" max="6" width="55.125" customWidth="1"/>
    <col min="7" max="7" width="39.125" customWidth="1"/>
    <col min="8" max="8" width="19.125" customWidth="1"/>
    <col min="9" max="9" width="78.125" customWidth="1"/>
  </cols>
  <sheetData>
    <row r="2" spans="2:9">
      <c r="D2" t="s">
        <v>23</v>
      </c>
      <c r="E2" t="s">
        <v>27</v>
      </c>
    </row>
    <row r="3" spans="2:9">
      <c r="D3" s="25" t="s">
        <v>24</v>
      </c>
      <c r="E3">
        <v>15</v>
      </c>
      <c r="F3" t="s">
        <v>25</v>
      </c>
      <c r="H3" s="1" t="s">
        <v>11</v>
      </c>
      <c r="I3" t="s">
        <v>89</v>
      </c>
    </row>
    <row r="4" spans="2:9">
      <c r="D4" s="25"/>
      <c r="E4">
        <v>1</v>
      </c>
      <c r="F4" t="s">
        <v>26</v>
      </c>
    </row>
    <row r="5" spans="2:9">
      <c r="D5" s="25"/>
      <c r="E5">
        <v>8</v>
      </c>
      <c r="F5" t="s">
        <v>85</v>
      </c>
      <c r="H5" s="1" t="s">
        <v>10</v>
      </c>
    </row>
    <row r="6" spans="2:9">
      <c r="D6" s="25"/>
      <c r="E6">
        <v>1</v>
      </c>
      <c r="F6" t="s">
        <v>86</v>
      </c>
      <c r="H6" s="1"/>
    </row>
    <row r="8" spans="2:9">
      <c r="B8" t="s">
        <v>87</v>
      </c>
      <c r="C8" s="25" t="s">
        <v>88</v>
      </c>
      <c r="D8" t="s">
        <v>0</v>
      </c>
      <c r="E8">
        <v>16</v>
      </c>
      <c r="F8" t="s">
        <v>3</v>
      </c>
      <c r="H8" s="1" t="s">
        <v>11</v>
      </c>
    </row>
    <row r="9" spans="2:9">
      <c r="C9" s="25"/>
      <c r="D9" t="s">
        <v>1</v>
      </c>
      <c r="E9">
        <v>16</v>
      </c>
      <c r="F9" t="s">
        <v>5</v>
      </c>
    </row>
    <row r="10" spans="2:9">
      <c r="C10" s="25"/>
      <c r="D10" t="s">
        <v>2</v>
      </c>
      <c r="E10">
        <v>16</v>
      </c>
      <c r="F10" t="s">
        <v>6</v>
      </c>
    </row>
    <row r="11" spans="2:9">
      <c r="C11" s="25"/>
      <c r="D11" t="s">
        <v>4</v>
      </c>
      <c r="E11">
        <v>16</v>
      </c>
      <c r="F11" t="s">
        <v>7</v>
      </c>
    </row>
    <row r="12" spans="2:9" ht="42.75">
      <c r="D12" t="s">
        <v>90</v>
      </c>
      <c r="F12" s="6" t="s">
        <v>91</v>
      </c>
    </row>
    <row r="13" spans="2:9">
      <c r="D13" t="s">
        <v>8</v>
      </c>
    </row>
    <row r="14" spans="2:9">
      <c r="E14">
        <v>6</v>
      </c>
      <c r="F14" t="s">
        <v>13</v>
      </c>
      <c r="G14" s="2" t="s">
        <v>12</v>
      </c>
      <c r="H14" s="1" t="s">
        <v>10</v>
      </c>
    </row>
    <row r="15" spans="2:9">
      <c r="E15">
        <v>6</v>
      </c>
      <c r="F15" t="s">
        <v>14</v>
      </c>
    </row>
    <row r="16" spans="2:9">
      <c r="E16">
        <v>1</v>
      </c>
      <c r="F16" t="s">
        <v>9</v>
      </c>
      <c r="G16" t="s">
        <v>15</v>
      </c>
    </row>
    <row r="17" spans="4:7">
      <c r="E17">
        <v>1</v>
      </c>
      <c r="F17" t="s">
        <v>16</v>
      </c>
      <c r="G17" t="s">
        <v>15</v>
      </c>
    </row>
    <row r="18" spans="4:7">
      <c r="E18">
        <v>1</v>
      </c>
      <c r="F18" t="s">
        <v>17</v>
      </c>
      <c r="G18" t="s">
        <v>18</v>
      </c>
    </row>
    <row r="19" spans="4:7">
      <c r="E19">
        <v>1</v>
      </c>
      <c r="F19" t="s">
        <v>19</v>
      </c>
      <c r="G19" t="s">
        <v>18</v>
      </c>
    </row>
    <row r="20" spans="4:7">
      <c r="E20">
        <v>2</v>
      </c>
      <c r="F20" t="s">
        <v>21</v>
      </c>
      <c r="G20" t="s">
        <v>20</v>
      </c>
    </row>
    <row r="21" spans="4:7">
      <c r="E21">
        <v>1</v>
      </c>
      <c r="F21" t="s">
        <v>22</v>
      </c>
    </row>
    <row r="24" spans="4:7">
      <c r="D24" t="s">
        <v>39</v>
      </c>
      <c r="E24">
        <v>0</v>
      </c>
      <c r="F24" t="s">
        <v>38</v>
      </c>
    </row>
    <row r="25" spans="4:7">
      <c r="D25" t="s">
        <v>40</v>
      </c>
      <c r="E25">
        <v>1</v>
      </c>
      <c r="F25" t="s">
        <v>28</v>
      </c>
      <c r="G25">
        <v>16</v>
      </c>
    </row>
    <row r="26" spans="4:7">
      <c r="E26">
        <v>2</v>
      </c>
      <c r="F26" t="s">
        <v>29</v>
      </c>
      <c r="G26">
        <v>8</v>
      </c>
    </row>
    <row r="27" spans="4:7">
      <c r="E27">
        <v>3</v>
      </c>
      <c r="F27" t="s">
        <v>30</v>
      </c>
    </row>
    <row r="28" spans="4:7">
      <c r="E28">
        <v>4</v>
      </c>
      <c r="F28" t="s">
        <v>31</v>
      </c>
    </row>
    <row r="29" spans="4:7">
      <c r="E29">
        <v>5</v>
      </c>
      <c r="F29" t="s">
        <v>32</v>
      </c>
    </row>
    <row r="30" spans="4:7">
      <c r="E30">
        <v>6</v>
      </c>
      <c r="F30" t="s">
        <v>33</v>
      </c>
    </row>
    <row r="31" spans="4:7">
      <c r="E31">
        <v>7</v>
      </c>
      <c r="F31" t="s">
        <v>34</v>
      </c>
    </row>
    <row r="32" spans="4:7">
      <c r="E32">
        <v>8</v>
      </c>
      <c r="F32" t="s">
        <v>35</v>
      </c>
    </row>
    <row r="33" spans="4:6">
      <c r="E33">
        <v>9</v>
      </c>
      <c r="F33" t="s">
        <v>36</v>
      </c>
    </row>
    <row r="34" spans="4:6">
      <c r="E34">
        <v>10</v>
      </c>
      <c r="F34" t="s">
        <v>37</v>
      </c>
    </row>
    <row r="35" spans="4:6">
      <c r="D35" t="s">
        <v>41</v>
      </c>
      <c r="E35">
        <v>11</v>
      </c>
      <c r="F35" t="s">
        <v>28</v>
      </c>
    </row>
    <row r="36" spans="4:6">
      <c r="E36">
        <v>12</v>
      </c>
      <c r="F36" t="s">
        <v>29</v>
      </c>
    </row>
    <row r="37" spans="4:6">
      <c r="E37">
        <v>13</v>
      </c>
      <c r="F37" t="s">
        <v>30</v>
      </c>
    </row>
    <row r="38" spans="4:6">
      <c r="E38">
        <v>14</v>
      </c>
      <c r="F38" t="s">
        <v>31</v>
      </c>
    </row>
    <row r="39" spans="4:6">
      <c r="E39">
        <v>15</v>
      </c>
      <c r="F39" t="s">
        <v>32</v>
      </c>
    </row>
    <row r="40" spans="4:6">
      <c r="E40">
        <v>16</v>
      </c>
      <c r="F40" t="s">
        <v>33</v>
      </c>
    </row>
    <row r="41" spans="4:6">
      <c r="E41">
        <v>17</v>
      </c>
      <c r="F41" t="s">
        <v>34</v>
      </c>
    </row>
    <row r="42" spans="4:6">
      <c r="E42">
        <v>18</v>
      </c>
      <c r="F42" t="s">
        <v>35</v>
      </c>
    </row>
    <row r="43" spans="4:6">
      <c r="E43">
        <v>19</v>
      </c>
      <c r="F43" t="s">
        <v>36</v>
      </c>
    </row>
    <row r="44" spans="4:6">
      <c r="E44">
        <v>20</v>
      </c>
      <c r="F44" t="s">
        <v>42</v>
      </c>
    </row>
  </sheetData>
  <mergeCells count="2">
    <mergeCell ref="D3:D6"/>
    <mergeCell ref="C8:C1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AAD86-412C-4CDF-9163-7246A9649CA4}">
  <dimension ref="C1:AK39"/>
  <sheetViews>
    <sheetView tabSelected="1" topLeftCell="D1" zoomScaleNormal="100" workbookViewId="0">
      <selection activeCell="W3" sqref="W3"/>
    </sheetView>
  </sheetViews>
  <sheetFormatPr defaultRowHeight="14.25"/>
  <cols>
    <col min="3" max="3" width="12.625" style="8" customWidth="1"/>
    <col min="4" max="4" width="10.75" style="8" customWidth="1"/>
    <col min="5" max="5" width="36.75" style="8" customWidth="1"/>
    <col min="6" max="6" width="30.75" style="9" customWidth="1"/>
    <col min="7" max="7" width="5" style="12" customWidth="1"/>
    <col min="8" max="8" width="5" style="40" customWidth="1"/>
    <col min="9" max="9" width="7.25" style="8" customWidth="1"/>
    <col min="10" max="33" width="4.75" style="8" customWidth="1"/>
    <col min="34" max="37" width="9.125" style="8"/>
  </cols>
  <sheetData>
    <row r="1" spans="3:37">
      <c r="F1" s="21"/>
      <c r="G1" s="22">
        <v>31</v>
      </c>
      <c r="H1" s="38" t="s">
        <v>140</v>
      </c>
      <c r="I1" s="23" t="s">
        <v>104</v>
      </c>
      <c r="J1" s="21">
        <v>23</v>
      </c>
      <c r="K1" s="21">
        <v>22</v>
      </c>
      <c r="L1" s="21">
        <v>21</v>
      </c>
      <c r="M1" s="21">
        <v>20</v>
      </c>
      <c r="N1" s="21">
        <v>19</v>
      </c>
      <c r="O1" s="21">
        <v>18</v>
      </c>
      <c r="P1" s="21">
        <v>17</v>
      </c>
      <c r="Q1" s="21">
        <v>16</v>
      </c>
      <c r="R1" s="21">
        <v>15</v>
      </c>
      <c r="S1" s="21">
        <v>14</v>
      </c>
      <c r="T1" s="21">
        <v>13</v>
      </c>
      <c r="U1" s="21">
        <v>12</v>
      </c>
      <c r="V1" s="21">
        <v>11</v>
      </c>
      <c r="W1" s="21">
        <v>10</v>
      </c>
      <c r="X1" s="21">
        <v>9</v>
      </c>
      <c r="Y1" s="21">
        <v>8</v>
      </c>
      <c r="Z1" s="21">
        <v>7</v>
      </c>
      <c r="AA1" s="21">
        <v>6</v>
      </c>
      <c r="AB1" s="21">
        <v>5</v>
      </c>
      <c r="AC1" s="21">
        <v>4</v>
      </c>
      <c r="AD1" s="21">
        <v>3</v>
      </c>
      <c r="AE1" s="21">
        <v>2</v>
      </c>
      <c r="AF1" s="21">
        <v>1</v>
      </c>
      <c r="AG1" s="21">
        <v>0</v>
      </c>
    </row>
    <row r="2" spans="3:37">
      <c r="F2" s="11" t="s">
        <v>138</v>
      </c>
      <c r="G2" s="13" t="s">
        <v>105</v>
      </c>
      <c r="H2" s="39"/>
      <c r="I2" s="11" t="s">
        <v>102</v>
      </c>
      <c r="J2" s="30" t="s">
        <v>103</v>
      </c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 spans="3:37" ht="47.25">
      <c r="F3" s="14" t="s">
        <v>106</v>
      </c>
      <c r="G3" s="15" t="s">
        <v>126</v>
      </c>
      <c r="H3" s="41">
        <v>0</v>
      </c>
      <c r="I3" s="16" t="str">
        <f>"0x" &amp; DEC2HEX(H3,2)</f>
        <v>0x00</v>
      </c>
      <c r="J3" s="26" t="s">
        <v>121</v>
      </c>
      <c r="K3" s="26"/>
      <c r="L3" s="26"/>
      <c r="M3" s="26"/>
      <c r="N3" s="26"/>
      <c r="O3" s="26"/>
      <c r="P3" s="26"/>
      <c r="Q3" s="26"/>
      <c r="R3" s="24" t="s">
        <v>139</v>
      </c>
      <c r="S3" s="26" t="s">
        <v>162</v>
      </c>
      <c r="T3" s="26"/>
      <c r="U3" s="24" t="s">
        <v>134</v>
      </c>
      <c r="V3" s="20">
        <v>0</v>
      </c>
      <c r="W3" s="24" t="s">
        <v>174</v>
      </c>
      <c r="X3" s="24" t="s">
        <v>118</v>
      </c>
      <c r="Y3" s="24" t="s">
        <v>115</v>
      </c>
      <c r="Z3" s="24" t="s">
        <v>114</v>
      </c>
      <c r="AA3" s="24" t="s">
        <v>113</v>
      </c>
      <c r="AB3" s="24" t="s">
        <v>112</v>
      </c>
      <c r="AC3" s="24" t="s">
        <v>111</v>
      </c>
      <c r="AD3" s="24" t="s">
        <v>110</v>
      </c>
      <c r="AE3" s="24" t="s">
        <v>109</v>
      </c>
      <c r="AF3" s="24" t="s">
        <v>108</v>
      </c>
      <c r="AG3" s="24" t="s">
        <v>107</v>
      </c>
    </row>
    <row r="4" spans="3:37">
      <c r="F4" s="14" t="s">
        <v>135</v>
      </c>
      <c r="G4" s="15" t="s">
        <v>126</v>
      </c>
      <c r="H4" s="41">
        <v>1</v>
      </c>
      <c r="I4" s="16" t="str">
        <f>"0x" &amp; DEC2HEX(H4,2)</f>
        <v>0x01</v>
      </c>
      <c r="J4" s="26" t="s">
        <v>122</v>
      </c>
      <c r="K4" s="26"/>
      <c r="L4" s="26"/>
      <c r="M4" s="26"/>
      <c r="N4" s="26"/>
      <c r="O4" s="26"/>
      <c r="P4" s="26"/>
      <c r="Q4" s="26"/>
      <c r="R4" s="18"/>
      <c r="S4" s="26" t="s">
        <v>125</v>
      </c>
      <c r="T4" s="26"/>
      <c r="U4" s="26"/>
      <c r="V4" s="26"/>
      <c r="W4" s="26"/>
      <c r="X4" s="26" t="s">
        <v>124</v>
      </c>
      <c r="Y4" s="26"/>
      <c r="Z4" s="26"/>
      <c r="AA4" s="26"/>
      <c r="AB4" s="26" t="s">
        <v>123</v>
      </c>
      <c r="AC4" s="26"/>
      <c r="AD4" s="26"/>
      <c r="AE4" s="26"/>
      <c r="AF4" s="26"/>
      <c r="AG4" s="26"/>
    </row>
    <row r="5" spans="3:37">
      <c r="F5" s="14" t="s">
        <v>136</v>
      </c>
      <c r="G5" s="15" t="s">
        <v>126</v>
      </c>
      <c r="H5" s="41">
        <v>2</v>
      </c>
      <c r="I5" s="16" t="str">
        <f>"0x" &amp; DEC2HEX(H5,2)</f>
        <v>0x02</v>
      </c>
      <c r="J5" s="20">
        <v>0</v>
      </c>
      <c r="K5" s="20">
        <v>0</v>
      </c>
      <c r="L5" s="20">
        <v>0</v>
      </c>
      <c r="M5" s="20">
        <v>0</v>
      </c>
      <c r="N5" s="27" t="s">
        <v>137</v>
      </c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9"/>
    </row>
    <row r="6" spans="3:37">
      <c r="F6" s="14" t="s">
        <v>127</v>
      </c>
      <c r="G6" s="15" t="s">
        <v>105</v>
      </c>
      <c r="H6" s="41">
        <v>3</v>
      </c>
      <c r="I6" s="16" t="str">
        <f>"0x" &amp; DEC2HEX(H6,2)</f>
        <v>0x03</v>
      </c>
      <c r="J6" s="26" t="s">
        <v>128</v>
      </c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</row>
    <row r="7" spans="3:37" s="5" customFormat="1">
      <c r="C7" s="8"/>
      <c r="D7" s="8"/>
      <c r="E7" s="8"/>
      <c r="F7" s="17" t="s">
        <v>144</v>
      </c>
      <c r="G7" s="15" t="s">
        <v>132</v>
      </c>
      <c r="H7" s="41">
        <v>4</v>
      </c>
      <c r="I7" s="16" t="str">
        <f>"0x" &amp; DEC2HEX(H7,2)</f>
        <v>0x04</v>
      </c>
      <c r="J7" s="20">
        <v>0</v>
      </c>
      <c r="K7" s="27" t="s">
        <v>145</v>
      </c>
      <c r="L7" s="42"/>
      <c r="M7" s="31"/>
      <c r="N7" s="19" t="s">
        <v>105</v>
      </c>
      <c r="O7" s="27" t="s">
        <v>141</v>
      </c>
      <c r="P7" s="42"/>
      <c r="Q7" s="31"/>
      <c r="R7" s="27" t="s">
        <v>142</v>
      </c>
      <c r="S7" s="28"/>
      <c r="T7" s="28"/>
      <c r="U7" s="28"/>
      <c r="V7" s="28"/>
      <c r="W7" s="28"/>
      <c r="X7" s="28"/>
      <c r="Y7" s="29"/>
      <c r="Z7" s="27" t="s">
        <v>143</v>
      </c>
      <c r="AA7" s="28"/>
      <c r="AB7" s="28"/>
      <c r="AC7" s="28"/>
      <c r="AD7" s="28"/>
      <c r="AE7" s="28"/>
      <c r="AF7" s="28"/>
      <c r="AG7" s="29"/>
      <c r="AH7" s="8"/>
      <c r="AI7" s="8"/>
      <c r="AJ7" s="8"/>
      <c r="AK7" s="8"/>
    </row>
    <row r="8" spans="3:37" s="5" customFormat="1">
      <c r="C8" s="8"/>
      <c r="D8" s="8"/>
      <c r="E8" s="8"/>
      <c r="F8" s="17" t="s">
        <v>146</v>
      </c>
      <c r="G8" s="15" t="s">
        <v>126</v>
      </c>
      <c r="H8" s="41">
        <v>5</v>
      </c>
      <c r="I8" s="16" t="str">
        <f>"0x" &amp; DEC2HEX(H8,2)</f>
        <v>0x05</v>
      </c>
      <c r="J8" s="20">
        <v>0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7" t="s">
        <v>147</v>
      </c>
      <c r="AA8" s="28"/>
      <c r="AB8" s="28"/>
      <c r="AC8" s="28"/>
      <c r="AD8" s="28"/>
      <c r="AE8" s="28"/>
      <c r="AF8" s="28"/>
      <c r="AG8" s="29"/>
      <c r="AH8" s="8"/>
      <c r="AI8" s="8"/>
      <c r="AJ8" s="8"/>
      <c r="AK8" s="8"/>
    </row>
    <row r="9" spans="3:37">
      <c r="F9" s="14" t="s">
        <v>120</v>
      </c>
      <c r="G9" s="15" t="s">
        <v>105</v>
      </c>
      <c r="H9" s="41">
        <v>6</v>
      </c>
      <c r="I9" s="16" t="str">
        <f>"0x" &amp; DEC2HEX(H9,2)</f>
        <v>0x06</v>
      </c>
      <c r="J9" s="20">
        <v>0</v>
      </c>
      <c r="K9" s="20"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D9" s="20">
        <v>0</v>
      </c>
      <c r="AE9" s="20">
        <v>0</v>
      </c>
      <c r="AF9" s="27" t="s">
        <v>101</v>
      </c>
      <c r="AG9" s="31"/>
    </row>
    <row r="10" spans="3:37" ht="15" thickBot="1">
      <c r="F10" s="46" t="s">
        <v>119</v>
      </c>
      <c r="G10" s="47" t="s">
        <v>105</v>
      </c>
      <c r="H10" s="48">
        <v>7</v>
      </c>
      <c r="I10" s="49" t="str">
        <f>"0x" &amp; DEC2HEX(H10,2)</f>
        <v>0x07</v>
      </c>
      <c r="J10" s="50">
        <v>0</v>
      </c>
      <c r="K10" s="46" t="s">
        <v>117</v>
      </c>
      <c r="L10" s="51" t="s">
        <v>116</v>
      </c>
      <c r="M10" s="51"/>
      <c r="N10" s="51"/>
      <c r="O10" s="51"/>
      <c r="P10" s="51"/>
      <c r="Q10" s="51"/>
      <c r="R10" s="51" t="s">
        <v>69</v>
      </c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</row>
    <row r="11" spans="3:37">
      <c r="F11" s="52" t="s">
        <v>148</v>
      </c>
      <c r="G11" s="53" t="s">
        <v>105</v>
      </c>
      <c r="H11" s="54">
        <v>8</v>
      </c>
      <c r="I11" s="55" t="str">
        <f>"0x" &amp; DEC2HEX(H11,2)</f>
        <v>0x08</v>
      </c>
      <c r="J11" s="56" t="s">
        <v>151</v>
      </c>
      <c r="K11" s="57"/>
      <c r="L11" s="57"/>
      <c r="M11" s="57"/>
      <c r="N11" s="57"/>
      <c r="O11" s="57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9"/>
    </row>
    <row r="12" spans="3:37" ht="15">
      <c r="F12" s="60" t="s">
        <v>149</v>
      </c>
      <c r="G12" s="43"/>
      <c r="H12" s="43"/>
      <c r="I12" s="44"/>
      <c r="J12" s="45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2"/>
    </row>
    <row r="13" spans="3:37" ht="15" thickBot="1">
      <c r="F13" s="63" t="s">
        <v>150</v>
      </c>
      <c r="G13" s="64" t="s">
        <v>105</v>
      </c>
      <c r="H13" s="65">
        <v>15</v>
      </c>
      <c r="I13" s="66" t="str">
        <f>"0x" &amp; DEC2HEX(H13,2)</f>
        <v>0x0F</v>
      </c>
      <c r="J13" s="67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9"/>
    </row>
    <row r="14" spans="3:37" s="5" customFormat="1">
      <c r="C14" s="8"/>
      <c r="D14" s="8"/>
      <c r="E14" s="8"/>
      <c r="F14" s="73" t="s">
        <v>152</v>
      </c>
      <c r="G14" s="74" t="s">
        <v>105</v>
      </c>
      <c r="H14" s="75">
        <f>H11+8</f>
        <v>16</v>
      </c>
      <c r="I14" s="76" t="str">
        <f>"0x" &amp; DEC2HEX(H14,2)</f>
        <v>0x10</v>
      </c>
      <c r="J14" s="77" t="s">
        <v>163</v>
      </c>
      <c r="K14" s="78"/>
      <c r="L14" s="78"/>
      <c r="M14" s="78"/>
      <c r="N14" s="78"/>
      <c r="O14" s="78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80"/>
      <c r="AH14" s="8"/>
      <c r="AI14" s="8"/>
      <c r="AJ14" s="8"/>
      <c r="AK14" s="8"/>
    </row>
    <row r="15" spans="3:37" s="5" customFormat="1" ht="15">
      <c r="C15" s="8"/>
      <c r="D15" s="8"/>
      <c r="E15" s="8"/>
      <c r="F15" s="81" t="s">
        <v>149</v>
      </c>
      <c r="G15" s="82"/>
      <c r="H15" s="82"/>
      <c r="I15" s="83"/>
      <c r="J15" s="84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6"/>
      <c r="AH15" s="8"/>
      <c r="AI15" s="8"/>
      <c r="AJ15" s="8"/>
      <c r="AK15" s="8"/>
    </row>
    <row r="16" spans="3:37" s="5" customFormat="1" ht="15" thickBot="1">
      <c r="C16" s="8"/>
      <c r="D16" s="8"/>
      <c r="E16" s="8"/>
      <c r="F16" s="87" t="s">
        <v>153</v>
      </c>
      <c r="G16" s="88" t="s">
        <v>105</v>
      </c>
      <c r="H16" s="89">
        <f>H13+8</f>
        <v>23</v>
      </c>
      <c r="I16" s="90" t="str">
        <f>"0x" &amp; DEC2HEX(H16,2)</f>
        <v>0x17</v>
      </c>
      <c r="J16" s="91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  <c r="AD16" s="92"/>
      <c r="AE16" s="92"/>
      <c r="AF16" s="92"/>
      <c r="AG16" s="93"/>
      <c r="AH16" s="8"/>
      <c r="AI16" s="8"/>
      <c r="AJ16" s="8"/>
      <c r="AK16" s="8"/>
    </row>
    <row r="17" spans="3:37" s="5" customFormat="1">
      <c r="C17" s="8"/>
      <c r="D17" s="8"/>
      <c r="E17" s="8"/>
      <c r="F17" s="52" t="s">
        <v>154</v>
      </c>
      <c r="G17" s="53" t="s">
        <v>105</v>
      </c>
      <c r="H17" s="54">
        <f>H14+8</f>
        <v>24</v>
      </c>
      <c r="I17" s="55" t="str">
        <f>"0x" &amp; DEC2HEX(H17,2)</f>
        <v>0x18</v>
      </c>
      <c r="J17" s="56" t="s">
        <v>164</v>
      </c>
      <c r="K17" s="57"/>
      <c r="L17" s="57"/>
      <c r="M17" s="57"/>
      <c r="N17" s="57"/>
      <c r="O17" s="57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9"/>
      <c r="AH17" s="8"/>
      <c r="AI17" s="8"/>
      <c r="AJ17" s="8"/>
      <c r="AK17" s="8"/>
    </row>
    <row r="18" spans="3:37" s="5" customFormat="1" ht="15">
      <c r="C18" s="8"/>
      <c r="D18" s="8"/>
      <c r="E18" s="8"/>
      <c r="F18" s="60" t="s">
        <v>149</v>
      </c>
      <c r="G18" s="43"/>
      <c r="H18" s="43"/>
      <c r="I18" s="44"/>
      <c r="J18" s="45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2"/>
      <c r="AH18" s="8"/>
      <c r="AI18" s="8"/>
      <c r="AJ18" s="8"/>
      <c r="AK18" s="8"/>
    </row>
    <row r="19" spans="3:37" s="5" customFormat="1" ht="15" thickBot="1">
      <c r="C19" s="8"/>
      <c r="D19" s="8"/>
      <c r="E19" s="8"/>
      <c r="F19" s="63" t="s">
        <v>155</v>
      </c>
      <c r="G19" s="64" t="s">
        <v>105</v>
      </c>
      <c r="H19" s="65">
        <f>H16+8</f>
        <v>31</v>
      </c>
      <c r="I19" s="66" t="str">
        <f>"0x" &amp; DEC2HEX(H19,2)</f>
        <v>0x1F</v>
      </c>
      <c r="J19" s="67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9"/>
      <c r="AH19" s="8"/>
      <c r="AI19" s="8"/>
      <c r="AJ19" s="8"/>
      <c r="AK19" s="8"/>
    </row>
    <row r="20" spans="3:37" s="5" customFormat="1">
      <c r="C20" s="8"/>
      <c r="D20" s="8"/>
      <c r="E20" s="8"/>
      <c r="F20" s="73" t="s">
        <v>156</v>
      </c>
      <c r="G20" s="74" t="s">
        <v>105</v>
      </c>
      <c r="H20" s="75">
        <f>H17+8</f>
        <v>32</v>
      </c>
      <c r="I20" s="76" t="str">
        <f>"0x" &amp; DEC2HEX(H20,2)</f>
        <v>0x20</v>
      </c>
      <c r="J20" s="77" t="s">
        <v>165</v>
      </c>
      <c r="K20" s="78"/>
      <c r="L20" s="78"/>
      <c r="M20" s="78"/>
      <c r="N20" s="78"/>
      <c r="O20" s="78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80"/>
      <c r="AH20" s="8"/>
      <c r="AI20" s="8"/>
      <c r="AJ20" s="8"/>
      <c r="AK20" s="8"/>
    </row>
    <row r="21" spans="3:37" s="5" customFormat="1" ht="15">
      <c r="C21" s="8"/>
      <c r="D21" s="8"/>
      <c r="E21" s="8"/>
      <c r="F21" s="81" t="s">
        <v>149</v>
      </c>
      <c r="G21" s="82"/>
      <c r="H21" s="82"/>
      <c r="I21" s="83"/>
      <c r="J21" s="84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  <c r="AG21" s="86"/>
      <c r="AH21" s="8"/>
      <c r="AI21" s="8"/>
      <c r="AJ21" s="8"/>
      <c r="AK21" s="8"/>
    </row>
    <row r="22" spans="3:37" s="5" customFormat="1" ht="15" thickBot="1">
      <c r="C22" s="8"/>
      <c r="D22" s="8"/>
      <c r="E22" s="8"/>
      <c r="F22" s="87" t="s">
        <v>157</v>
      </c>
      <c r="G22" s="88" t="s">
        <v>105</v>
      </c>
      <c r="H22" s="89">
        <f>H19+8</f>
        <v>39</v>
      </c>
      <c r="I22" s="90" t="str">
        <f>"0x" &amp; DEC2HEX(H22,2)</f>
        <v>0x27</v>
      </c>
      <c r="J22" s="91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  <c r="AD22" s="92"/>
      <c r="AE22" s="92"/>
      <c r="AF22" s="92"/>
      <c r="AG22" s="93"/>
      <c r="AH22" s="8"/>
      <c r="AI22" s="8"/>
      <c r="AJ22" s="8"/>
      <c r="AK22" s="8"/>
    </row>
    <row r="23" spans="3:37" s="5" customFormat="1">
      <c r="C23" s="8"/>
      <c r="D23" s="8"/>
      <c r="E23" s="8"/>
      <c r="F23" s="52" t="s">
        <v>158</v>
      </c>
      <c r="G23" s="53" t="s">
        <v>105</v>
      </c>
      <c r="H23" s="54">
        <f>H20+8</f>
        <v>40</v>
      </c>
      <c r="I23" s="55" t="str">
        <f>"0x" &amp; DEC2HEX(H23,2)</f>
        <v>0x28</v>
      </c>
      <c r="J23" s="56" t="s">
        <v>166</v>
      </c>
      <c r="K23" s="57"/>
      <c r="L23" s="57"/>
      <c r="M23" s="57"/>
      <c r="N23" s="57"/>
      <c r="O23" s="57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9"/>
      <c r="AH23" s="8"/>
      <c r="AI23" s="8"/>
      <c r="AJ23" s="8"/>
      <c r="AK23" s="8"/>
    </row>
    <row r="24" spans="3:37" s="5" customFormat="1" ht="15">
      <c r="C24" s="8"/>
      <c r="D24" s="8"/>
      <c r="E24" s="8"/>
      <c r="F24" s="60" t="s">
        <v>149</v>
      </c>
      <c r="G24" s="43"/>
      <c r="H24" s="43"/>
      <c r="I24" s="44"/>
      <c r="J24" s="45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2"/>
      <c r="AH24" s="8"/>
      <c r="AI24" s="8"/>
      <c r="AJ24" s="8"/>
      <c r="AK24" s="8"/>
    </row>
    <row r="25" spans="3:37" s="5" customFormat="1" ht="15" thickBot="1">
      <c r="C25" s="8"/>
      <c r="D25" s="8"/>
      <c r="E25" s="8"/>
      <c r="F25" s="63" t="s">
        <v>159</v>
      </c>
      <c r="G25" s="64" t="s">
        <v>105</v>
      </c>
      <c r="H25" s="65">
        <f>H22+8</f>
        <v>47</v>
      </c>
      <c r="I25" s="66" t="str">
        <f>"0x" &amp; DEC2HEX(H25,2)</f>
        <v>0x2F</v>
      </c>
      <c r="J25" s="67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  <c r="AG25" s="69"/>
      <c r="AH25" s="8"/>
      <c r="AI25" s="8"/>
      <c r="AJ25" s="8"/>
      <c r="AK25" s="8"/>
    </row>
    <row r="26" spans="3:37" s="5" customFormat="1">
      <c r="C26" s="8"/>
      <c r="D26" s="8"/>
      <c r="E26" s="8"/>
      <c r="F26" s="73" t="s">
        <v>160</v>
      </c>
      <c r="G26" s="74" t="s">
        <v>105</v>
      </c>
      <c r="H26" s="75">
        <f>H23+8</f>
        <v>48</v>
      </c>
      <c r="I26" s="76" t="str">
        <f>"0x" &amp; DEC2HEX(H26,2)</f>
        <v>0x30</v>
      </c>
      <c r="J26" s="77" t="s">
        <v>167</v>
      </c>
      <c r="K26" s="78"/>
      <c r="L26" s="78"/>
      <c r="M26" s="78"/>
      <c r="N26" s="78"/>
      <c r="O26" s="78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80"/>
      <c r="AH26" s="8"/>
      <c r="AI26" s="8"/>
      <c r="AJ26" s="8"/>
      <c r="AK26" s="8"/>
    </row>
    <row r="27" spans="3:37" s="5" customFormat="1" ht="15">
      <c r="C27" s="8"/>
      <c r="D27" s="8"/>
      <c r="E27" s="8"/>
      <c r="F27" s="81" t="s">
        <v>149</v>
      </c>
      <c r="G27" s="82"/>
      <c r="H27" s="82"/>
      <c r="I27" s="83"/>
      <c r="J27" s="84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6"/>
      <c r="AH27" s="8"/>
      <c r="AI27" s="8"/>
      <c r="AJ27" s="8"/>
      <c r="AK27" s="8"/>
    </row>
    <row r="28" spans="3:37" s="5" customFormat="1" ht="15" thickBot="1">
      <c r="C28" s="8"/>
      <c r="D28" s="8"/>
      <c r="E28" s="8"/>
      <c r="F28" s="87" t="s">
        <v>161</v>
      </c>
      <c r="G28" s="88" t="s">
        <v>105</v>
      </c>
      <c r="H28" s="89">
        <f>H25+8</f>
        <v>55</v>
      </c>
      <c r="I28" s="90" t="str">
        <f>"0x" &amp; DEC2HEX(H28,2)</f>
        <v>0x37</v>
      </c>
      <c r="J28" s="91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  <c r="AE28" s="92"/>
      <c r="AF28" s="92"/>
      <c r="AG28" s="93"/>
      <c r="AH28" s="8"/>
      <c r="AI28" s="8"/>
      <c r="AJ28" s="8"/>
      <c r="AK28" s="8"/>
    </row>
    <row r="29" spans="3:37" s="5" customFormat="1">
      <c r="C29" s="8"/>
      <c r="D29" s="8"/>
      <c r="E29" s="8"/>
      <c r="F29" s="52" t="s">
        <v>170</v>
      </c>
      <c r="G29" s="53" t="s">
        <v>105</v>
      </c>
      <c r="H29" s="54">
        <f>H26+8</f>
        <v>56</v>
      </c>
      <c r="I29" s="55" t="str">
        <f>"0x" &amp; DEC2HEX(H29,2)</f>
        <v>0x38</v>
      </c>
      <c r="J29" s="56" t="s">
        <v>168</v>
      </c>
      <c r="K29" s="57"/>
      <c r="L29" s="57"/>
      <c r="M29" s="57"/>
      <c r="N29" s="57"/>
      <c r="O29" s="57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9"/>
      <c r="AH29" s="8"/>
      <c r="AI29" s="8"/>
      <c r="AJ29" s="8"/>
      <c r="AK29" s="8"/>
    </row>
    <row r="30" spans="3:37" s="5" customFormat="1" ht="15">
      <c r="C30" s="8"/>
      <c r="D30" s="8"/>
      <c r="E30" s="8"/>
      <c r="F30" s="60" t="s">
        <v>149</v>
      </c>
      <c r="G30" s="43"/>
      <c r="H30" s="43"/>
      <c r="I30" s="44"/>
      <c r="J30" s="45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2"/>
      <c r="AH30" s="8"/>
      <c r="AI30" s="8"/>
      <c r="AJ30" s="8"/>
      <c r="AK30" s="8"/>
    </row>
    <row r="31" spans="3:37" s="5" customFormat="1" ht="15" thickBot="1">
      <c r="C31" s="8"/>
      <c r="D31" s="8"/>
      <c r="E31" s="8"/>
      <c r="F31" s="63" t="s">
        <v>171</v>
      </c>
      <c r="G31" s="64" t="s">
        <v>105</v>
      </c>
      <c r="H31" s="65">
        <f>H28+8</f>
        <v>63</v>
      </c>
      <c r="I31" s="66" t="str">
        <f>"0x" &amp; DEC2HEX(H31,2)</f>
        <v>0x3F</v>
      </c>
      <c r="J31" s="67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9"/>
      <c r="AH31" s="8"/>
      <c r="AI31" s="8"/>
      <c r="AJ31" s="8"/>
      <c r="AK31" s="8"/>
    </row>
    <row r="32" spans="3:37" s="5" customFormat="1">
      <c r="C32" s="8"/>
      <c r="D32" s="8"/>
      <c r="E32" s="8"/>
      <c r="F32" s="73" t="s">
        <v>172</v>
      </c>
      <c r="G32" s="74" t="s">
        <v>105</v>
      </c>
      <c r="H32" s="75">
        <f>H29+8</f>
        <v>64</v>
      </c>
      <c r="I32" s="76" t="str">
        <f>"0x" &amp; DEC2HEX(H32,2)</f>
        <v>0x40</v>
      </c>
      <c r="J32" s="77" t="s">
        <v>169</v>
      </c>
      <c r="K32" s="78"/>
      <c r="L32" s="78"/>
      <c r="M32" s="78"/>
      <c r="N32" s="78"/>
      <c r="O32" s="78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80"/>
      <c r="AH32" s="8"/>
      <c r="AI32" s="8"/>
      <c r="AJ32" s="8"/>
      <c r="AK32" s="8"/>
    </row>
    <row r="33" spans="3:37" s="5" customFormat="1" ht="15">
      <c r="C33" s="8"/>
      <c r="D33" s="8"/>
      <c r="E33" s="8"/>
      <c r="F33" s="81" t="s">
        <v>149</v>
      </c>
      <c r="G33" s="82"/>
      <c r="H33" s="82"/>
      <c r="I33" s="83"/>
      <c r="J33" s="84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  <c r="AG33" s="86"/>
      <c r="AH33" s="8"/>
      <c r="AI33" s="8"/>
      <c r="AJ33" s="8"/>
      <c r="AK33" s="8"/>
    </row>
    <row r="34" spans="3:37" s="5" customFormat="1" ht="15" thickBot="1">
      <c r="C34" s="8"/>
      <c r="D34" s="8"/>
      <c r="E34" s="8"/>
      <c r="F34" s="87" t="s">
        <v>173</v>
      </c>
      <c r="G34" s="88" t="s">
        <v>105</v>
      </c>
      <c r="H34" s="89">
        <f>H31+8</f>
        <v>71</v>
      </c>
      <c r="I34" s="90" t="str">
        <f>"0x" &amp; DEC2HEX(H34,2)</f>
        <v>0x47</v>
      </c>
      <c r="J34" s="91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  <c r="AD34" s="92"/>
      <c r="AE34" s="92"/>
      <c r="AF34" s="92"/>
      <c r="AG34" s="93"/>
      <c r="AH34" s="8"/>
      <c r="AI34" s="8"/>
      <c r="AJ34" s="8"/>
      <c r="AK34" s="8"/>
    </row>
    <row r="35" spans="3:37" s="5" customFormat="1">
      <c r="C35" s="8"/>
      <c r="D35" s="8"/>
      <c r="E35" s="8"/>
      <c r="F35" s="19" t="s">
        <v>133</v>
      </c>
      <c r="G35" s="15" t="s">
        <v>105</v>
      </c>
      <c r="H35" s="41">
        <v>72</v>
      </c>
      <c r="I35" s="16" t="str">
        <f>"0x" &amp; DEC2HEX(H35,2)</f>
        <v>0x48</v>
      </c>
      <c r="J35" s="20">
        <v>0</v>
      </c>
      <c r="K35" s="20"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70" t="s">
        <v>131</v>
      </c>
      <c r="AA35" s="71"/>
      <c r="AB35" s="71"/>
      <c r="AC35" s="71"/>
      <c r="AD35" s="71"/>
      <c r="AE35" s="71"/>
      <c r="AF35" s="71"/>
      <c r="AG35" s="72"/>
      <c r="AH35" s="8"/>
      <c r="AI35" s="8"/>
      <c r="AJ35" s="8"/>
      <c r="AK35" s="8"/>
    </row>
    <row r="36" spans="3:37" s="5" customFormat="1">
      <c r="C36" s="8"/>
      <c r="D36" s="8"/>
      <c r="E36" s="8"/>
      <c r="F36" s="19" t="s">
        <v>130</v>
      </c>
      <c r="G36" s="15" t="s">
        <v>132</v>
      </c>
      <c r="H36" s="41">
        <v>73</v>
      </c>
      <c r="I36" s="16" t="str">
        <f>"0x" &amp; DEC2HEX(H36,2)</f>
        <v>0x49</v>
      </c>
      <c r="J36" s="20">
        <v>0</v>
      </c>
      <c r="K36" s="20">
        <v>0</v>
      </c>
      <c r="L36" s="20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D36" s="20">
        <v>0</v>
      </c>
      <c r="AE36" s="20">
        <v>0</v>
      </c>
      <c r="AF36" s="20">
        <v>0</v>
      </c>
      <c r="AG36" s="16" t="s">
        <v>129</v>
      </c>
      <c r="AH36" s="8"/>
      <c r="AI36" s="8"/>
      <c r="AJ36" s="8"/>
      <c r="AK36" s="8"/>
    </row>
    <row r="37" spans="3:37" s="5" customFormat="1" ht="15">
      <c r="C37" s="8"/>
      <c r="D37" s="8"/>
      <c r="E37" s="10"/>
      <c r="F37" s="9"/>
      <c r="G37" s="12"/>
      <c r="H37" s="40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 spans="3:37" ht="15">
      <c r="E38" s="10"/>
    </row>
    <row r="39" spans="3:37" ht="15">
      <c r="E39" s="10"/>
    </row>
  </sheetData>
  <mergeCells count="34">
    <mergeCell ref="J29:AG31"/>
    <mergeCell ref="F30:I30"/>
    <mergeCell ref="J32:AG34"/>
    <mergeCell ref="F33:I33"/>
    <mergeCell ref="Z35:AG35"/>
    <mergeCell ref="F21:I21"/>
    <mergeCell ref="J23:AG25"/>
    <mergeCell ref="F24:I24"/>
    <mergeCell ref="J26:AG28"/>
    <mergeCell ref="F27:I27"/>
    <mergeCell ref="F12:I12"/>
    <mergeCell ref="J14:AG16"/>
    <mergeCell ref="F15:I15"/>
    <mergeCell ref="J17:AG19"/>
    <mergeCell ref="F18:I18"/>
    <mergeCell ref="J20:AG22"/>
    <mergeCell ref="J2:AG2"/>
    <mergeCell ref="R10:AG10"/>
    <mergeCell ref="L10:Q10"/>
    <mergeCell ref="AF9:AG9"/>
    <mergeCell ref="J3:Q3"/>
    <mergeCell ref="S3:T3"/>
    <mergeCell ref="Z7:AG7"/>
    <mergeCell ref="R7:Y7"/>
    <mergeCell ref="O7:Q7"/>
    <mergeCell ref="K7:M7"/>
    <mergeCell ref="Z8:AG8"/>
    <mergeCell ref="J11:AG13"/>
    <mergeCell ref="J4:Q4"/>
    <mergeCell ref="S4:W4"/>
    <mergeCell ref="X4:AA4"/>
    <mergeCell ref="AB4:AG4"/>
    <mergeCell ref="J6:AG6"/>
    <mergeCell ref="N5:AG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4B809-05C7-47B0-84E0-CC6C6AFB4565}">
  <dimension ref="H2:AW11"/>
  <sheetViews>
    <sheetView workbookViewId="0">
      <selection activeCell="AD21" sqref="AD21"/>
    </sheetView>
  </sheetViews>
  <sheetFormatPr defaultRowHeight="14.25"/>
  <cols>
    <col min="2" max="7" width="2.75" customWidth="1"/>
    <col min="8" max="8" width="13.75" customWidth="1"/>
    <col min="9" max="9" width="21.25" customWidth="1"/>
    <col min="10" max="49" width="2.75" customWidth="1"/>
  </cols>
  <sheetData>
    <row r="2" spans="8:49">
      <c r="J2" s="3">
        <v>39</v>
      </c>
      <c r="K2" s="3">
        <v>38</v>
      </c>
      <c r="L2" s="3">
        <v>37</v>
      </c>
      <c r="M2" s="3">
        <v>36</v>
      </c>
      <c r="N2" s="3">
        <v>35</v>
      </c>
      <c r="O2" s="3">
        <v>34</v>
      </c>
      <c r="P2" s="3">
        <v>33</v>
      </c>
      <c r="Q2" s="3">
        <v>32</v>
      </c>
      <c r="R2" s="3">
        <v>31</v>
      </c>
      <c r="S2" s="3">
        <v>30</v>
      </c>
      <c r="T2" s="3">
        <v>29</v>
      </c>
      <c r="U2" s="3">
        <v>28</v>
      </c>
      <c r="V2" s="3">
        <v>27</v>
      </c>
      <c r="W2" s="3">
        <v>26</v>
      </c>
      <c r="X2" s="3">
        <v>25</v>
      </c>
      <c r="Y2" s="3">
        <v>24</v>
      </c>
      <c r="Z2" s="3">
        <v>23</v>
      </c>
      <c r="AA2" s="3">
        <v>22</v>
      </c>
      <c r="AB2" s="3">
        <v>21</v>
      </c>
      <c r="AC2" s="3">
        <v>20</v>
      </c>
      <c r="AD2" s="3">
        <v>19</v>
      </c>
      <c r="AE2" s="3">
        <v>18</v>
      </c>
      <c r="AF2" s="3">
        <v>17</v>
      </c>
      <c r="AG2" s="3">
        <v>16</v>
      </c>
      <c r="AH2" s="3">
        <v>15</v>
      </c>
      <c r="AI2" s="3">
        <v>14</v>
      </c>
      <c r="AJ2" s="3">
        <v>13</v>
      </c>
      <c r="AK2" s="3">
        <v>12</v>
      </c>
      <c r="AL2" s="3">
        <v>11</v>
      </c>
      <c r="AM2" s="3">
        <v>10</v>
      </c>
      <c r="AN2" s="3">
        <v>9</v>
      </c>
      <c r="AO2" s="3">
        <v>8</v>
      </c>
      <c r="AP2" s="3">
        <v>7</v>
      </c>
      <c r="AQ2" s="3">
        <v>6</v>
      </c>
      <c r="AR2" s="3">
        <v>5</v>
      </c>
      <c r="AS2" s="3">
        <v>4</v>
      </c>
      <c r="AT2" s="3">
        <v>3</v>
      </c>
      <c r="AU2" s="3">
        <v>2</v>
      </c>
      <c r="AV2" s="3">
        <v>1</v>
      </c>
      <c r="AW2" s="3">
        <v>0</v>
      </c>
    </row>
    <row r="3" spans="8:49" ht="28.5">
      <c r="H3" s="36" t="s">
        <v>84</v>
      </c>
      <c r="I3" s="37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4" t="s">
        <v>73</v>
      </c>
      <c r="AB3" s="32" t="s">
        <v>70</v>
      </c>
      <c r="AC3" s="32"/>
      <c r="AD3" s="32"/>
      <c r="AE3" s="32"/>
      <c r="AF3" s="32"/>
      <c r="AG3" s="32"/>
      <c r="AH3" s="33" t="s">
        <v>69</v>
      </c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</row>
    <row r="4" spans="8:49">
      <c r="H4" s="36" t="s">
        <v>74</v>
      </c>
      <c r="I4" t="s">
        <v>75</v>
      </c>
      <c r="J4" s="34"/>
      <c r="K4" s="35"/>
      <c r="L4" s="32" t="s">
        <v>58</v>
      </c>
      <c r="M4" s="32"/>
      <c r="N4" s="32"/>
      <c r="O4" s="32"/>
      <c r="P4" s="32"/>
      <c r="Q4" s="32"/>
      <c r="R4" s="34"/>
      <c r="S4" s="35"/>
      <c r="T4" s="32" t="s">
        <v>61</v>
      </c>
      <c r="U4" s="32"/>
      <c r="V4" s="32"/>
      <c r="W4" s="32"/>
      <c r="X4" s="32"/>
      <c r="Y4" s="32"/>
      <c r="Z4" s="33" t="s">
        <v>43</v>
      </c>
      <c r="AA4" s="33"/>
      <c r="AB4" s="33"/>
      <c r="AC4" s="33"/>
      <c r="AD4" s="33"/>
      <c r="AE4" s="33"/>
      <c r="AF4" s="33"/>
      <c r="AG4" s="33"/>
      <c r="AH4" s="33" t="s">
        <v>3</v>
      </c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</row>
    <row r="5" spans="8:49">
      <c r="H5" s="36"/>
      <c r="I5" t="s">
        <v>76</v>
      </c>
      <c r="J5" s="34"/>
      <c r="K5" s="35"/>
      <c r="L5" s="32" t="s">
        <v>57</v>
      </c>
      <c r="M5" s="32"/>
      <c r="N5" s="32"/>
      <c r="O5" s="32"/>
      <c r="P5" s="32"/>
      <c r="Q5" s="32"/>
      <c r="R5" s="34"/>
      <c r="S5" s="35"/>
      <c r="T5" s="32" t="s">
        <v>60</v>
      </c>
      <c r="U5" s="32"/>
      <c r="V5" s="32"/>
      <c r="W5" s="32"/>
      <c r="X5" s="32"/>
      <c r="Y5" s="32"/>
      <c r="Z5" s="33" t="s">
        <v>44</v>
      </c>
      <c r="AA5" s="33"/>
      <c r="AB5" s="33"/>
      <c r="AC5" s="33"/>
      <c r="AD5" s="33"/>
      <c r="AE5" s="33"/>
      <c r="AF5" s="33"/>
      <c r="AG5" s="33"/>
      <c r="AH5" s="33" t="s">
        <v>5</v>
      </c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</row>
    <row r="6" spans="8:49">
      <c r="H6" s="36"/>
      <c r="I6" t="s">
        <v>77</v>
      </c>
      <c r="J6" s="34"/>
      <c r="K6" s="35"/>
      <c r="L6" s="32" t="s">
        <v>56</v>
      </c>
      <c r="M6" s="32"/>
      <c r="N6" s="32"/>
      <c r="O6" s="32"/>
      <c r="P6" s="32"/>
      <c r="Q6" s="32"/>
      <c r="R6" s="34"/>
      <c r="S6" s="35"/>
      <c r="T6" s="32" t="s">
        <v>59</v>
      </c>
      <c r="U6" s="32"/>
      <c r="V6" s="32"/>
      <c r="W6" s="32"/>
      <c r="X6" s="32"/>
      <c r="Y6" s="32"/>
      <c r="Z6" s="33" t="s">
        <v>45</v>
      </c>
      <c r="AA6" s="33"/>
      <c r="AB6" s="33"/>
      <c r="AC6" s="33"/>
      <c r="AD6" s="33"/>
      <c r="AE6" s="33"/>
      <c r="AF6" s="33"/>
      <c r="AG6" s="33"/>
      <c r="AH6" s="33" t="s">
        <v>6</v>
      </c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</row>
    <row r="7" spans="8:49">
      <c r="H7" s="36"/>
      <c r="I7" t="s">
        <v>78</v>
      </c>
      <c r="J7" s="34"/>
      <c r="K7" s="35"/>
      <c r="L7" s="32" t="s">
        <v>55</v>
      </c>
      <c r="M7" s="32"/>
      <c r="N7" s="32"/>
      <c r="O7" s="32"/>
      <c r="P7" s="32"/>
      <c r="Q7" s="32"/>
      <c r="R7" s="34"/>
      <c r="S7" s="35"/>
      <c r="T7" s="32" t="s">
        <v>71</v>
      </c>
      <c r="U7" s="32"/>
      <c r="V7" s="32"/>
      <c r="W7" s="32"/>
      <c r="X7" s="32"/>
      <c r="Y7" s="32"/>
      <c r="Z7" s="33" t="s">
        <v>46</v>
      </c>
      <c r="AA7" s="33"/>
      <c r="AB7" s="33"/>
      <c r="AC7" s="33"/>
      <c r="AD7" s="33"/>
      <c r="AE7" s="33"/>
      <c r="AF7" s="33"/>
      <c r="AG7" s="33"/>
      <c r="AH7" s="33" t="s">
        <v>7</v>
      </c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</row>
    <row r="8" spans="8:49">
      <c r="H8" s="36" t="s">
        <v>83</v>
      </c>
      <c r="I8" t="s">
        <v>79</v>
      </c>
      <c r="J8" s="34"/>
      <c r="K8" s="35"/>
      <c r="L8" s="32" t="s">
        <v>65</v>
      </c>
      <c r="M8" s="32"/>
      <c r="N8" s="32"/>
      <c r="O8" s="32"/>
      <c r="P8" s="32"/>
      <c r="Q8" s="32"/>
      <c r="R8" s="34"/>
      <c r="S8" s="35"/>
      <c r="T8" s="32" t="s">
        <v>68</v>
      </c>
      <c r="U8" s="32"/>
      <c r="V8" s="32"/>
      <c r="W8" s="32"/>
      <c r="X8" s="32"/>
      <c r="Y8" s="32"/>
      <c r="Z8" s="33" t="s">
        <v>47</v>
      </c>
      <c r="AA8" s="33"/>
      <c r="AB8" s="33"/>
      <c r="AC8" s="33"/>
      <c r="AD8" s="33"/>
      <c r="AE8" s="33"/>
      <c r="AF8" s="33"/>
      <c r="AG8" s="33"/>
      <c r="AH8" s="33" t="s">
        <v>48</v>
      </c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</row>
    <row r="9" spans="8:49">
      <c r="H9" s="36"/>
      <c r="I9" t="s">
        <v>80</v>
      </c>
      <c r="J9" s="34"/>
      <c r="K9" s="35"/>
      <c r="L9" s="32" t="s">
        <v>64</v>
      </c>
      <c r="M9" s="32"/>
      <c r="N9" s="32"/>
      <c r="O9" s="32"/>
      <c r="P9" s="32"/>
      <c r="Q9" s="32"/>
      <c r="R9" s="34"/>
      <c r="S9" s="35"/>
      <c r="T9" s="32" t="s">
        <v>67</v>
      </c>
      <c r="U9" s="32"/>
      <c r="V9" s="32"/>
      <c r="W9" s="32"/>
      <c r="X9" s="32"/>
      <c r="Y9" s="32"/>
      <c r="Z9" s="33" t="s">
        <v>50</v>
      </c>
      <c r="AA9" s="33"/>
      <c r="AB9" s="33"/>
      <c r="AC9" s="33"/>
      <c r="AD9" s="33"/>
      <c r="AE9" s="33"/>
      <c r="AF9" s="33"/>
      <c r="AG9" s="33"/>
      <c r="AH9" s="33" t="s">
        <v>49</v>
      </c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</row>
    <row r="10" spans="8:49">
      <c r="H10" s="36"/>
      <c r="I10" t="s">
        <v>81</v>
      </c>
      <c r="J10" s="34"/>
      <c r="K10" s="35"/>
      <c r="L10" s="32" t="s">
        <v>63</v>
      </c>
      <c r="M10" s="32"/>
      <c r="N10" s="32"/>
      <c r="O10" s="32"/>
      <c r="P10" s="32"/>
      <c r="Q10" s="32"/>
      <c r="R10" s="34"/>
      <c r="S10" s="35"/>
      <c r="T10" s="32" t="s">
        <v>66</v>
      </c>
      <c r="U10" s="32"/>
      <c r="V10" s="32"/>
      <c r="W10" s="32"/>
      <c r="X10" s="32"/>
      <c r="Y10" s="32"/>
      <c r="Z10" s="33" t="s">
        <v>51</v>
      </c>
      <c r="AA10" s="33"/>
      <c r="AB10" s="33"/>
      <c r="AC10" s="33"/>
      <c r="AD10" s="33"/>
      <c r="AE10" s="33"/>
      <c r="AF10" s="33"/>
      <c r="AG10" s="33"/>
      <c r="AH10" s="33" t="s">
        <v>52</v>
      </c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</row>
    <row r="11" spans="8:49">
      <c r="H11" s="36"/>
      <c r="I11" t="s">
        <v>82</v>
      </c>
      <c r="J11" s="34"/>
      <c r="K11" s="35"/>
      <c r="L11" s="32" t="s">
        <v>62</v>
      </c>
      <c r="M11" s="32"/>
      <c r="N11" s="32"/>
      <c r="O11" s="32"/>
      <c r="P11" s="32"/>
      <c r="Q11" s="32"/>
      <c r="R11" s="34"/>
      <c r="S11" s="35"/>
      <c r="T11" s="32" t="s">
        <v>72</v>
      </c>
      <c r="U11" s="32"/>
      <c r="V11" s="32"/>
      <c r="W11" s="32"/>
      <c r="X11" s="32"/>
      <c r="Y11" s="32"/>
      <c r="Z11" s="33" t="s">
        <v>53</v>
      </c>
      <c r="AA11" s="33"/>
      <c r="AB11" s="33"/>
      <c r="AC11" s="33"/>
      <c r="AD11" s="33"/>
      <c r="AE11" s="33"/>
      <c r="AF11" s="33"/>
      <c r="AG11" s="33"/>
      <c r="AH11" s="33" t="s">
        <v>54</v>
      </c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</row>
  </sheetData>
  <mergeCells count="53">
    <mergeCell ref="H4:H7"/>
    <mergeCell ref="H8:H11"/>
    <mergeCell ref="H3:I3"/>
    <mergeCell ref="J10:K10"/>
    <mergeCell ref="L10:Q10"/>
    <mergeCell ref="J9:K9"/>
    <mergeCell ref="L9:Q9"/>
    <mergeCell ref="J6:K6"/>
    <mergeCell ref="L6:Q6"/>
    <mergeCell ref="R10:S10"/>
    <mergeCell ref="T10:Y10"/>
    <mergeCell ref="J11:K11"/>
    <mergeCell ref="L11:Q11"/>
    <mergeCell ref="R11:S11"/>
    <mergeCell ref="T11:Y11"/>
    <mergeCell ref="R9:S9"/>
    <mergeCell ref="T9:Y9"/>
    <mergeCell ref="Z9:AG9"/>
    <mergeCell ref="AH9:AW9"/>
    <mergeCell ref="J8:K8"/>
    <mergeCell ref="L8:Q8"/>
    <mergeCell ref="R8:S8"/>
    <mergeCell ref="T8:Y8"/>
    <mergeCell ref="Z8:AG8"/>
    <mergeCell ref="AH8:AW8"/>
    <mergeCell ref="R6:S6"/>
    <mergeCell ref="T6:Y6"/>
    <mergeCell ref="J7:K7"/>
    <mergeCell ref="L7:Q7"/>
    <mergeCell ref="R7:S7"/>
    <mergeCell ref="T7:Y7"/>
    <mergeCell ref="T4:Y4"/>
    <mergeCell ref="L4:Q4"/>
    <mergeCell ref="R4:S4"/>
    <mergeCell ref="J4:K4"/>
    <mergeCell ref="J5:K5"/>
    <mergeCell ref="L5:Q5"/>
    <mergeCell ref="R5:S5"/>
    <mergeCell ref="T5:Y5"/>
    <mergeCell ref="Z11:AG11"/>
    <mergeCell ref="AH11:AW11"/>
    <mergeCell ref="Z10:AG10"/>
    <mergeCell ref="AH10:AW10"/>
    <mergeCell ref="Z6:AG6"/>
    <mergeCell ref="AH6:AW6"/>
    <mergeCell ref="Z7:AG7"/>
    <mergeCell ref="AH7:AW7"/>
    <mergeCell ref="AB3:AG3"/>
    <mergeCell ref="AH3:AW3"/>
    <mergeCell ref="Z4:AG4"/>
    <mergeCell ref="AH4:AW4"/>
    <mergeCell ref="Z5:AG5"/>
    <mergeCell ref="AH5:AW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Diag-Top</vt:lpstr>
      <vt:lpstr>Subunit1</vt:lpstr>
      <vt:lpstr>single channel</vt:lpstr>
      <vt:lpstr>Sheet1</vt:lpstr>
      <vt:lpstr>Sheet2</vt:lpstr>
      <vt:lpstr>Sheet3</vt:lpstr>
      <vt:lpstr>Sheet2!_Toc160693716</vt:lpstr>
      <vt:lpstr>Sheet2!_Toc160693717</vt:lpstr>
      <vt:lpstr>Sheet2!_Toc160693718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guy izkovsky</dc:creator>
  <cp:lastModifiedBy>Izkovsky Guy</cp:lastModifiedBy>
  <dcterms:created xsi:type="dcterms:W3CDTF">2015-06-05T18:17:20Z</dcterms:created>
  <dcterms:modified xsi:type="dcterms:W3CDTF">2025-05-14T08:48:43Z</dcterms:modified>
</cp:coreProperties>
</file>