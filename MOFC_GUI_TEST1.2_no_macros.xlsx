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yiz\Documents\Work\CDRP\MOFC\"/>
    </mc:Choice>
  </mc:AlternateContent>
  <xr:revisionPtr revIDLastSave="0" documentId="8_{1551E7F0-8326-4040-AEC8-388964804CDF}" xr6:coauthVersionLast="47" xr6:coauthVersionMax="47" xr10:uidLastSave="{00000000-0000-0000-0000-000000000000}"/>
  <bookViews>
    <workbookView xWindow="3450" yWindow="60" windowWidth="32535" windowHeight="20040" activeTab="1" xr2:uid="{00000000-000D-0000-FFFF-FFFF00000000}"/>
  </bookViews>
  <sheets>
    <sheet name="LISTS" sheetId="29" r:id="rId1"/>
    <sheet name="MOFC_ASSIGN" sheetId="27" r:id="rId2"/>
    <sheet name="MOFC_DEBUG" sheetId="28" r:id="rId3"/>
    <sheet name="SystemFiletrs" sheetId="31" r:id="rId4"/>
  </sheets>
  <definedNames>
    <definedName name="BAND1_H">LISTS!$K$30:$K$45</definedName>
    <definedName name="BAND1_L">LISTS!$N$30:$N$45</definedName>
    <definedName name="BAND2_H">LISTS!$L$30:$L$45</definedName>
    <definedName name="BAND2_L">LISTS!$O$30:$O$45</definedName>
    <definedName name="BAND3_H">LISTS!$M$30:$M$45</definedName>
    <definedName name="BAND3_L">LISTS!$P$30:$P$45</definedName>
    <definedName name="BANDSEL">MOFC_DEBUG!#REF!</definedName>
    <definedName name="BIT_INT_EXT">LISTS!$I$5:$I$6</definedName>
    <definedName name="BIT_LO_FREQ">LISTS!$A$5:$A$365</definedName>
    <definedName name="BIT_OUT_PWR">LISTS!$B$5:$B$68</definedName>
    <definedName name="BYPASS_H">LISTS!$R$30</definedName>
    <definedName name="BYPASS_L">LISTS!$Q$30</definedName>
    <definedName name="DCA">LISTS!$D$5:$D$68</definedName>
    <definedName name="HPF_1">LISTS!$L$69:$L$84</definedName>
    <definedName name="HPF_2">LISTS!$M$69:$M$84</definedName>
    <definedName name="HPF_3">LISTS!$N$69:$N$84</definedName>
    <definedName name="HPF_4">LISTS!$O$69:$O$84</definedName>
    <definedName name="HPF_BYPASS">LISTS!$T$69</definedName>
    <definedName name="HPF1_ST">MOFC_DEBUG!#REF!</definedName>
    <definedName name="HPF2_ST">MOFC_DEBUG!#REF!</definedName>
    <definedName name="HPF3_ST">MOFC_DEBUG!#REF!</definedName>
    <definedName name="HPF4_ST">MOFC_DEBUG!#REF!</definedName>
    <definedName name="HPFF">MOFC_DEBUG!#REF!</definedName>
    <definedName name="IFOBS">LISTS!$G$5:$G$6</definedName>
    <definedName name="kuku">LISTS!#REF!</definedName>
    <definedName name="kuku2">LISTS!#REF!</definedName>
    <definedName name="LO_FREQ">LISTS!$C$5:$C$59</definedName>
    <definedName name="LPF_1">LISTS!$P$69:$P$84</definedName>
    <definedName name="LPF_2">LISTS!$Q$69:$Q$84</definedName>
    <definedName name="LPF_3">LISTS!$R$69:$R$84</definedName>
    <definedName name="LPF_4">LISTS!$S$69:$S$84</definedName>
    <definedName name="LPF_BYPASS">LISTS!$U$69</definedName>
    <definedName name="LPF1_ST">MOFC_DEBUG!#REF!</definedName>
    <definedName name="LPF2_ST">MOFC_DEBUG!#REF!</definedName>
    <definedName name="LPF3_ST">MOFC_DEBUG!#REF!</definedName>
    <definedName name="LPF4_ST">MOFC_DEBUG!#REF!</definedName>
    <definedName name="MainBand">LISTS!$J$30:$J$33</definedName>
    <definedName name="OpMode">LISTS!$J$5:$J$7</definedName>
    <definedName name="Pls_CW">LISTS!$H$5:$H$6</definedName>
    <definedName name="RFIBS">LISTS!$F$5:$F$8</definedName>
    <definedName name="RFISRC">LISTS!$E$5:$E$6</definedName>
    <definedName name="SASA">LISTS!#REF!</definedName>
    <definedName name="sasa\">LISTS!#REF!</definedName>
    <definedName name="SCA">LISTS!#REF!</definedName>
    <definedName name="ssss">LISTS!#REF!</definedName>
    <definedName name="sssss">LISTS!#REF!</definedName>
    <definedName name="TF2_HPF_SW">LISTS!$J$69:$J$73</definedName>
    <definedName name="TF2_LPF_SW">LISTS!$K$69:$K$73</definedName>
    <definedName name="xxx">MOFC_DEBUG!#REF!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9" i="29" l="1"/>
  <c r="AL38" i="29"/>
  <c r="AL37" i="29"/>
  <c r="AL36" i="29"/>
  <c r="AL35" i="29"/>
  <c r="AL34" i="29"/>
  <c r="AL33" i="29"/>
  <c r="AL32" i="29"/>
  <c r="V4" i="27"/>
  <c r="V5" i="27"/>
  <c r="V6" i="27"/>
  <c r="V7" i="27"/>
  <c r="V8" i="27"/>
  <c r="V9" i="27"/>
  <c r="V10" i="27"/>
  <c r="V11" i="27"/>
  <c r="V12" i="27"/>
  <c r="V13" i="27"/>
  <c r="V14" i="27"/>
  <c r="V15" i="27"/>
  <c r="V16" i="27"/>
  <c r="V17" i="27"/>
  <c r="V18" i="27"/>
  <c r="V19" i="27"/>
  <c r="V20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" i="27"/>
  <c r="C6" i="29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C52" i="29" s="1"/>
  <c r="C53" i="29" s="1"/>
  <c r="C54" i="29" s="1"/>
  <c r="C55" i="29" s="1"/>
  <c r="C56" i="29" s="1"/>
  <c r="C57" i="29" s="1"/>
  <c r="C58" i="29" s="1"/>
  <c r="C59" i="29" s="1"/>
  <c r="D10" i="27" l="1"/>
  <c r="D9" i="27"/>
  <c r="D8" i="27"/>
  <c r="D21" i="27"/>
  <c r="D20" i="27"/>
  <c r="D19" i="27"/>
  <c r="D18" i="27"/>
  <c r="AK25" i="27"/>
  <c r="AK22" i="27"/>
  <c r="AK20" i="27"/>
  <c r="AK17" i="27"/>
  <c r="AK14" i="27"/>
  <c r="AK13" i="27"/>
  <c r="AK12" i="27"/>
  <c r="AK11" i="27"/>
  <c r="AK10" i="27"/>
  <c r="AK9" i="27"/>
  <c r="AK8" i="27"/>
  <c r="AJ25" i="27"/>
  <c r="AJ22" i="27"/>
  <c r="AJ20" i="27"/>
  <c r="AJ17" i="27"/>
  <c r="AJ14" i="27"/>
  <c r="AJ13" i="27"/>
  <c r="AJ12" i="27"/>
  <c r="AJ11" i="27"/>
  <c r="AJ10" i="27"/>
  <c r="AJ9" i="27"/>
  <c r="AJ8" i="27"/>
  <c r="AI25" i="27"/>
  <c r="AI22" i="27"/>
  <c r="AI20" i="27"/>
  <c r="AI17" i="27"/>
  <c r="AI14" i="27"/>
  <c r="AI13" i="27"/>
  <c r="AI12" i="27"/>
  <c r="AI11" i="27"/>
  <c r="AI10" i="27"/>
  <c r="AI9" i="27"/>
  <c r="AI8" i="27"/>
  <c r="AH25" i="27"/>
  <c r="AH22" i="27"/>
  <c r="AH20" i="27"/>
  <c r="AH17" i="27"/>
  <c r="AH14" i="27"/>
  <c r="AH13" i="27"/>
  <c r="AH12" i="27"/>
  <c r="AH11" i="27"/>
  <c r="AH10" i="27"/>
  <c r="AH9" i="27"/>
  <c r="AH8" i="27"/>
  <c r="AG25" i="27"/>
  <c r="AG22" i="27"/>
  <c r="AG20" i="27"/>
  <c r="AG17" i="27"/>
  <c r="AG14" i="27"/>
  <c r="AG13" i="27"/>
  <c r="AG12" i="27"/>
  <c r="AG11" i="27"/>
  <c r="AG10" i="27"/>
  <c r="AG9" i="27"/>
  <c r="AG8" i="27"/>
  <c r="AF25" i="27"/>
  <c r="AF22" i="27"/>
  <c r="AF20" i="27"/>
  <c r="AF17" i="27"/>
  <c r="AF14" i="27"/>
  <c r="AF13" i="27"/>
  <c r="AF12" i="27"/>
  <c r="AF11" i="27"/>
  <c r="AF10" i="27"/>
  <c r="AF9" i="27"/>
  <c r="AF8" i="27"/>
  <c r="AE22" i="27"/>
  <c r="AE25" i="27"/>
  <c r="AE24" i="27"/>
  <c r="AE20" i="27"/>
  <c r="AE17" i="27"/>
  <c r="AE14" i="27"/>
  <c r="AE10" i="27"/>
  <c r="AE9" i="27"/>
  <c r="AE8" i="27"/>
  <c r="AD25" i="27"/>
  <c r="AD22" i="27"/>
  <c r="AD20" i="27"/>
  <c r="AD17" i="27"/>
  <c r="AD8" i="27"/>
  <c r="AD9" i="27"/>
  <c r="AD10" i="27"/>
  <c r="AD14" i="27"/>
  <c r="D6" i="29"/>
  <c r="D7" i="29" s="1"/>
  <c r="AK24" i="27"/>
  <c r="AD23" i="27"/>
  <c r="AH21" i="27"/>
  <c r="AJ23" i="27"/>
  <c r="AF16" i="27"/>
  <c r="AF19" i="27"/>
  <c r="AI21" i="27"/>
  <c r="AH19" i="27"/>
  <c r="AH15" i="27"/>
  <c r="AH16" i="27"/>
  <c r="AE16" i="27"/>
  <c r="AF18" i="27"/>
  <c r="AI19" i="27"/>
  <c r="AJ15" i="27"/>
  <c r="AJ19" i="27"/>
  <c r="AG15" i="27"/>
  <c r="AF15" i="27"/>
  <c r="AI16" i="27"/>
  <c r="AD16" i="27"/>
  <c r="AK23" i="27"/>
  <c r="AJ18" i="27"/>
  <c r="AG18" i="27"/>
  <c r="AK19" i="27"/>
  <c r="AK18" i="27"/>
  <c r="AD19" i="27"/>
  <c r="AG23" i="27"/>
  <c r="AD15" i="27"/>
  <c r="AF23" i="27"/>
  <c r="AK16" i="27"/>
  <c r="AG16" i="27"/>
  <c r="AE23" i="27"/>
  <c r="AD18" i="27"/>
  <c r="AD21" i="27"/>
  <c r="AE15" i="27"/>
  <c r="AI15" i="27"/>
  <c r="AG19" i="27"/>
  <c r="AF21" i="27"/>
  <c r="AE19" i="27"/>
  <c r="AJ16" i="27"/>
  <c r="AH23" i="27"/>
  <c r="AK21" i="27"/>
  <c r="AG21" i="27"/>
  <c r="AK15" i="27"/>
  <c r="AJ21" i="27"/>
  <c r="AI23" i="27"/>
  <c r="AI18" i="27"/>
  <c r="AE21" i="27"/>
  <c r="AE18" i="27"/>
  <c r="AH18" i="27"/>
  <c r="AE11" i="27" l="1"/>
  <c r="C22" i="27"/>
  <c r="W4" i="27" s="1"/>
  <c r="C11" i="27"/>
  <c r="W3" i="27" s="1"/>
  <c r="D8" i="29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AD11" i="27"/>
  <c r="AF24" i="27"/>
  <c r="AF30" i="27" s="1"/>
  <c r="W16" i="27" s="1"/>
  <c r="AG24" i="27"/>
  <c r="AG30" i="27" s="1"/>
  <c r="W20" i="27" s="1"/>
  <c r="AH24" i="27"/>
  <c r="AH30" i="27" s="1"/>
  <c r="W24" i="27" s="1"/>
  <c r="AI24" i="27"/>
  <c r="AI30" i="27" s="1"/>
  <c r="W28" i="27" s="1"/>
  <c r="AJ24" i="27"/>
  <c r="AJ30" i="27" s="1"/>
  <c r="W32" i="27" s="1"/>
  <c r="AK30" i="27"/>
  <c r="W36" i="27" s="1"/>
  <c r="AE30" i="27"/>
  <c r="W12" i="27" s="1"/>
  <c r="AJ27" i="27"/>
  <c r="W29" i="27" s="1"/>
  <c r="AF27" i="27"/>
  <c r="W13" i="27" s="1"/>
  <c r="AG27" i="27"/>
  <c r="W17" i="27" s="1"/>
  <c r="AH27" i="27"/>
  <c r="W21" i="27" s="1"/>
  <c r="AI27" i="27"/>
  <c r="W25" i="27" s="1"/>
  <c r="AK27" i="27"/>
  <c r="W33" i="27" s="1"/>
  <c r="AK29" i="27"/>
  <c r="W35" i="27" s="1"/>
  <c r="AJ29" i="27"/>
  <c r="W31" i="27" s="1"/>
  <c r="AI29" i="27"/>
  <c r="W27" i="27" s="1"/>
  <c r="AH29" i="27"/>
  <c r="W23" i="27" s="1"/>
  <c r="AG29" i="27"/>
  <c r="W19" i="27" s="1"/>
  <c r="AF29" i="27"/>
  <c r="W15" i="27" s="1"/>
  <c r="AE29" i="27"/>
  <c r="W11" i="27" s="1"/>
  <c r="AK28" i="27"/>
  <c r="W34" i="27" s="1"/>
  <c r="AJ28" i="27"/>
  <c r="W30" i="27" s="1"/>
  <c r="AI28" i="27"/>
  <c r="W26" i="27" s="1"/>
  <c r="AH28" i="27"/>
  <c r="W22" i="27" s="1"/>
  <c r="AG28" i="27"/>
  <c r="W18" i="27" s="1"/>
  <c r="AF28" i="27"/>
  <c r="W14" i="27" s="1"/>
  <c r="AE28" i="27"/>
  <c r="W10" i="27" s="1"/>
  <c r="AD29" i="27"/>
  <c r="W7" i="27" s="1"/>
  <c r="AD28" i="27"/>
  <c r="W6" i="27" s="1"/>
  <c r="AD12" i="27" l="1"/>
  <c r="AE13" i="27"/>
  <c r="AE12" i="27"/>
  <c r="Y4" i="27"/>
  <c r="X4" i="27"/>
  <c r="Y3" i="27"/>
  <c r="X3" i="27"/>
  <c r="Y32" i="27"/>
  <c r="X32" i="27"/>
  <c r="X24" i="27"/>
  <c r="Y24" i="27"/>
  <c r="X25" i="27"/>
  <c r="Y25" i="27"/>
  <c r="Y21" i="27"/>
  <c r="X21" i="27"/>
  <c r="X17" i="27"/>
  <c r="Y17" i="27"/>
  <c r="Y36" i="27"/>
  <c r="X36" i="27"/>
  <c r="Y20" i="27"/>
  <c r="X20" i="27"/>
  <c r="Y16" i="27"/>
  <c r="X16" i="27"/>
  <c r="X28" i="27"/>
  <c r="Y28" i="27"/>
  <c r="Y33" i="27"/>
  <c r="X33" i="27"/>
  <c r="Y13" i="27"/>
  <c r="X13" i="27"/>
  <c r="Y29" i="27"/>
  <c r="X29" i="27"/>
  <c r="Y12" i="27"/>
  <c r="X12" i="27"/>
  <c r="X35" i="27"/>
  <c r="Y35" i="27"/>
  <c r="X34" i="27"/>
  <c r="Y34" i="27"/>
  <c r="X31" i="27"/>
  <c r="Y31" i="27"/>
  <c r="X30" i="27"/>
  <c r="Y30" i="27"/>
  <c r="X27" i="27"/>
  <c r="Y27" i="27"/>
  <c r="X26" i="27"/>
  <c r="Y26" i="27"/>
  <c r="X23" i="27"/>
  <c r="Y23" i="27"/>
  <c r="X22" i="27"/>
  <c r="Y22" i="27"/>
  <c r="X19" i="27"/>
  <c r="Y19" i="27"/>
  <c r="X18" i="27"/>
  <c r="Y18" i="27"/>
  <c r="X15" i="27"/>
  <c r="Y15" i="27"/>
  <c r="X14" i="27"/>
  <c r="Y14" i="27"/>
  <c r="X11" i="27"/>
  <c r="Y11" i="27"/>
  <c r="X10" i="27"/>
  <c r="Y10" i="27"/>
  <c r="X7" i="27"/>
  <c r="Y7" i="27"/>
  <c r="X6" i="27"/>
  <c r="Y6" i="27"/>
  <c r="AD13" i="27"/>
  <c r="AD24" i="27"/>
  <c r="AD30" i="27" s="1"/>
  <c r="W8" i="27" s="1"/>
  <c r="AD27" i="27" l="1"/>
  <c r="W5" i="27" s="1"/>
  <c r="Y5" i="27" s="1"/>
  <c r="Z5" i="27" s="1"/>
  <c r="AE27" i="27"/>
  <c r="W9" i="27" s="1"/>
  <c r="Y9" i="27" s="1"/>
  <c r="Z10" i="27" s="1"/>
  <c r="Z24" i="27"/>
  <c r="Z13" i="27"/>
  <c r="Z21" i="27"/>
  <c r="Z28" i="27"/>
  <c r="Z33" i="27"/>
  <c r="Z16" i="27"/>
  <c r="Z29" i="27"/>
  <c r="Z12" i="27"/>
  <c r="Z36" i="27"/>
  <c r="W37" i="27" s="1"/>
  <c r="Z25" i="27"/>
  <c r="Z17" i="27"/>
  <c r="Z20" i="27"/>
  <c r="Z32" i="27"/>
  <c r="Z11" i="27"/>
  <c r="Z15" i="27"/>
  <c r="Z14" i="27"/>
  <c r="Z26" i="27"/>
  <c r="Z27" i="27"/>
  <c r="Z23" i="27"/>
  <c r="Z22" i="27"/>
  <c r="Z18" i="27"/>
  <c r="Z19" i="27"/>
  <c r="Z30" i="27"/>
  <c r="Z31" i="27"/>
  <c r="Z35" i="27"/>
  <c r="Z34" i="27"/>
  <c r="Z7" i="27"/>
  <c r="Y8" i="27"/>
  <c r="X8" i="27"/>
  <c r="Z9" i="27" l="1"/>
  <c r="X5" i="27"/>
  <c r="X9" i="27"/>
  <c r="Z8" i="27"/>
  <c r="Z6" i="27"/>
  <c r="X37" i="27"/>
  <c r="Y37" i="27"/>
</calcChain>
</file>

<file path=xl/sharedStrings.xml><?xml version="1.0" encoding="utf-8"?>
<sst xmlns="http://schemas.openxmlformats.org/spreadsheetml/2006/main" count="357" uniqueCount="126">
  <si>
    <t>DCA1</t>
  </si>
  <si>
    <t>DCA2</t>
  </si>
  <si>
    <t>2.75-4.75</t>
  </si>
  <si>
    <t>2-6</t>
  </si>
  <si>
    <t>6-18</t>
  </si>
  <si>
    <t>0.35-4.75</t>
  </si>
  <si>
    <t>ANT</t>
  </si>
  <si>
    <t>BIT</t>
  </si>
  <si>
    <t>RFIBS</t>
  </si>
  <si>
    <t>IFOBS</t>
  </si>
  <si>
    <t>TF1_VSW</t>
  </si>
  <si>
    <t>TF1_VL</t>
  </si>
  <si>
    <t>TF1_VH</t>
  </si>
  <si>
    <t>TF3_VH</t>
  </si>
  <si>
    <t>TF3_VL</t>
  </si>
  <si>
    <t>TF3_VSW</t>
  </si>
  <si>
    <t>TF2_HPF_STATE</t>
  </si>
  <si>
    <t>TF2_LPF_STATE</t>
  </si>
  <si>
    <t>RFISRC</t>
  </si>
  <si>
    <t>LO_PDWN</t>
  </si>
  <si>
    <t>LO_FREQ</t>
  </si>
  <si>
    <t>TF2_LPF_SW</t>
  </si>
  <si>
    <t>TF2_HPF_SW</t>
  </si>
  <si>
    <t>TERMINATED</t>
  </si>
  <si>
    <t>Pls/CW</t>
  </si>
  <si>
    <t>CW</t>
  </si>
  <si>
    <t>DCA3</t>
  </si>
  <si>
    <t>BIT_LO_FREQ</t>
  </si>
  <si>
    <t>BIT_OUT_PWR</t>
  </si>
  <si>
    <t>GlobalCfg</t>
  </si>
  <si>
    <t>PM-PRI[us]</t>
  </si>
  <si>
    <t>PM-PW[us]</t>
  </si>
  <si>
    <t>BIT INT/EXT</t>
  </si>
  <si>
    <t>Pls</t>
  </si>
  <si>
    <t>INT</t>
  </si>
  <si>
    <t>Bit config</t>
  </si>
  <si>
    <t>Channels configuration</t>
  </si>
  <si>
    <t>Opmode</t>
  </si>
  <si>
    <t>CommonQuad</t>
  </si>
  <si>
    <t>BIT_LO_FREQ[mhz]</t>
  </si>
  <si>
    <t>5.a</t>
  </si>
  <si>
    <t>Addr</t>
  </si>
  <si>
    <t>ReturnData</t>
  </si>
  <si>
    <t>0x33</t>
  </si>
  <si>
    <t>WriteData</t>
  </si>
  <si>
    <t>0x44</t>
  </si>
  <si>
    <t>MOFC assign</t>
  </si>
  <si>
    <t>3.5.4.6</t>
  </si>
  <si>
    <t>Global Read/Write regs</t>
  </si>
  <si>
    <t>0.35-2.4</t>
  </si>
  <si>
    <t>WriteCheckSum</t>
  </si>
  <si>
    <t>StatusReg</t>
  </si>
  <si>
    <t>FPGA-VER</t>
  </si>
  <si>
    <t>Serial Number</t>
  </si>
  <si>
    <t xml:space="preserve">MOFC Read </t>
  </si>
  <si>
    <t>BAND1_H</t>
  </si>
  <si>
    <t>BAND2_H</t>
  </si>
  <si>
    <t>BAND3_H</t>
  </si>
  <si>
    <t>BAND1_L</t>
  </si>
  <si>
    <t>BAND2_L</t>
  </si>
  <si>
    <t>BYPASS</t>
  </si>
  <si>
    <t>MainBand</t>
  </si>
  <si>
    <t>BAND1</t>
  </si>
  <si>
    <t>BAND2</t>
  </si>
  <si>
    <t>BAND3</t>
  </si>
  <si>
    <t>BYPASS_L</t>
  </si>
  <si>
    <t>BYPASS_H</t>
  </si>
  <si>
    <t>HPF_BYPASS</t>
  </si>
  <si>
    <t>LPF_BYPASS</t>
  </si>
  <si>
    <t>`</t>
  </si>
  <si>
    <t>HPF_1</t>
  </si>
  <si>
    <t>HPF_2</t>
  </si>
  <si>
    <t>HPF_3</t>
  </si>
  <si>
    <t>HPF_4</t>
  </si>
  <si>
    <t>LPF_1</t>
  </si>
  <si>
    <t>LPF_2</t>
  </si>
  <si>
    <t>LPF_3</t>
  </si>
  <si>
    <t>LPF_4</t>
  </si>
  <si>
    <t>DCA</t>
  </si>
  <si>
    <t>0.35-6</t>
  </si>
  <si>
    <t>TF2</t>
  </si>
  <si>
    <t>TF1,3</t>
  </si>
  <si>
    <t>StrtBit</t>
  </si>
  <si>
    <t>Pls_CW</t>
  </si>
  <si>
    <t>BIT_INT_EXT</t>
  </si>
  <si>
    <t>EXT</t>
  </si>
  <si>
    <t>OpMode</t>
  </si>
  <si>
    <t>SingleChannel</t>
  </si>
  <si>
    <t>CommonOctal</t>
  </si>
  <si>
    <t>Val</t>
  </si>
  <si>
    <t>RegAddr</t>
  </si>
  <si>
    <t>RegData</t>
  </si>
  <si>
    <t>SpiWord</t>
  </si>
  <si>
    <t>XorRegData</t>
  </si>
  <si>
    <t>ByteXOr</t>
  </si>
  <si>
    <t>RegName</t>
  </si>
  <si>
    <t>Ch0Cfg</t>
  </si>
  <si>
    <t>CheckSum</t>
  </si>
  <si>
    <t>BitCfg</t>
  </si>
  <si>
    <t>ChCfgWord0</t>
  </si>
  <si>
    <t>ChCfgWord1</t>
  </si>
  <si>
    <t>ChCfgWord2</t>
  </si>
  <si>
    <t>ChCfgWord3</t>
  </si>
  <si>
    <t>WORD0</t>
  </si>
  <si>
    <t>WORD1</t>
  </si>
  <si>
    <t>WORD2</t>
  </si>
  <si>
    <t>WORD3</t>
  </si>
  <si>
    <t>Ch1Cfg</t>
  </si>
  <si>
    <t>Ch2Cfg</t>
  </si>
  <si>
    <t>Ch3Cfg</t>
  </si>
  <si>
    <t>Ch4Cfg</t>
  </si>
  <si>
    <t>Ch5Cfg</t>
  </si>
  <si>
    <t>Ch6Cfg</t>
  </si>
  <si>
    <t>Ch7Cfg</t>
  </si>
  <si>
    <t>PM-PWIDTH[us]</t>
  </si>
  <si>
    <t>FilterID</t>
  </si>
  <si>
    <t>MinFreq</t>
  </si>
  <si>
    <t>MaxFreq</t>
  </si>
  <si>
    <t>TF1</t>
  </si>
  <si>
    <t>Tf2</t>
  </si>
  <si>
    <t>Tf3</t>
  </si>
  <si>
    <t>LO</t>
  </si>
  <si>
    <t>NA</t>
  </si>
  <si>
    <t>CRF-LO</t>
  </si>
  <si>
    <t>LO-CRF</t>
  </si>
  <si>
    <t>Host can select 2 independent ranges, and per range 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</si>
</sst>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3" xfId="0" applyFill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5" fillId="4" borderId="1" xfId="0" applyFont="1" applyFill="1" applyBorder="1"/>
    <xf numFmtId="0" fontId="7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0" xfId="0" applyFont="1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611522</xdr:colOff>
      <xdr:row>46</xdr:row>
      <xdr:rowOff>60869</xdr:rowOff>
    </xdr:from>
    <xdr:to>
      <xdr:col>12</xdr:col>
      <xdr:colOff>787561</xdr:colOff>
      <xdr:row>61</xdr:row>
      <xdr:rowOff>170768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4B5F6-E326-4583-B91F-50033DF6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2843" y="8905512"/>
          <a:ext cx="4529525" cy="2967399"/>
        </a:xfrm>
        <a:prstGeom prst="rect">
          <a:avLst/>
        </a:prstGeom>
      </xdr:spPr>
    </xdr:pic>
    <xdr:clientData/>
  </xdr:twoCellAnchor>
  <xdr:twoCellAnchor editAs="oneCell">
    <xdr:from>
      <xdr:col>8</xdr:col>
      <xdr:colOff>90249</xdr:colOff>
      <xdr:row>8</xdr:row>
      <xdr:rowOff>179694</xdr:rowOff>
    </xdr:from>
    <xdr:to>
      <xdr:col>20</xdr:col>
      <xdr:colOff>1239852</xdr:colOff>
      <xdr:row>24</xdr:row>
      <xdr:rowOff>107082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12D95-84B5-40EB-9AB5-D051D2E1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925" y="1703694"/>
          <a:ext cx="14518221" cy="2975388"/>
        </a:xfrm>
        <a:prstGeom prst="rect">
          <a:avLst/>
        </a:prstGeom>
      </xdr:spPr>
    </xdr:pic>
    <xdr:clientData/>
  </xdr:twoCellAnchor>
  <xdr:twoCellAnchor editAs="oneCell">
    <xdr:from>
      <xdr:col>13</xdr:col>
      <xdr:colOff>258537</xdr:colOff>
      <xdr:row>85</xdr:row>
      <xdr:rowOff>46301</xdr:rowOff>
    </xdr:from>
    <xdr:to>
      <xdr:col>19</xdr:col>
      <xdr:colOff>630073</xdr:colOff>
      <xdr:row>108</xdr:row>
      <xdr:rowOff>128999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B3F56-C53D-4D49-A117-67A46B53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1394" y="16429301"/>
          <a:ext cx="7011820" cy="4464198"/>
        </a:xfrm>
        <a:prstGeom prst="rect">
          <a:avLst/>
        </a:prstGeom>
      </xdr:spPr>
    </xdr:pic>
    <xdr:clientData/>
  </xdr:twoCellAnchor>
  <xdr:twoCellAnchor editAs="oneCell">
    <xdr:from>
      <xdr:col>17</xdr:col>
      <xdr:colOff>779130</xdr:colOff>
      <xdr:row>92</xdr:row>
      <xdr:rowOff>67236</xdr:rowOff>
    </xdr:from>
    <xdr:to>
      <xdr:col>22</xdr:col>
      <xdr:colOff>942308</xdr:colOff>
      <xdr:row>99</xdr:row>
      <xdr:rowOff>146156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541B4F-A700-4AE6-BF8C-70F65EFE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04630" y="17783736"/>
          <a:ext cx="6653786" cy="1412420"/>
        </a:xfrm>
        <a:prstGeom prst="rect">
          <a:avLst/>
        </a:prstGeom>
      </xdr:spPr>
    </xdr:pic>
    <xdr:clientData/>
  </xdr:twoCellAnchor>
  <xdr:twoCellAnchor editAs="oneCell">
    <xdr:from>
      <xdr:col>8</xdr:col>
      <xdr:colOff>462643</xdr:colOff>
      <xdr:row>85</xdr:row>
      <xdr:rowOff>114604</xdr:rowOff>
    </xdr:from>
    <xdr:to>
      <xdr:col>12</xdr:col>
      <xdr:colOff>997940</xdr:colOff>
      <xdr:row>106</xdr:row>
      <xdr:rowOff>120845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49D502-ACF6-465D-B353-A12DF624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3964" y="16497604"/>
          <a:ext cx="4895187" cy="4006741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239473</xdr:colOff>
      <xdr:row>46</xdr:row>
      <xdr:rowOff>149679</xdr:rowOff>
    </xdr:from>
    <xdr:to>
      <xdr:col>18</xdr:col>
      <xdr:colOff>231973</xdr:colOff>
      <xdr:row>51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2C762-1A11-4FB1-973E-C744C821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2330" y="8994322"/>
          <a:ext cx="5408142" cy="857370"/>
        </a:xfrm>
        <a:prstGeom prst="rect">
          <a:avLst/>
        </a:prstGeom>
      </xdr:spPr>
    </xdr:pic>
    <xdr:clientData/>
  </xdr:twoCellAnchor>
  <xdr:twoCellAnchor editAs="oneCell">
    <xdr:from>
      <xdr:col>18</xdr:col>
      <xdr:colOff>408215</xdr:colOff>
      <xdr:row>27</xdr:row>
      <xdr:rowOff>91829</xdr:rowOff>
    </xdr:from>
    <xdr:to>
      <xdr:col>22</xdr:col>
      <xdr:colOff>1200917</xdr:colOff>
      <xdr:row>60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C1465D-1ABB-4584-AFBD-7308CBE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76715" y="5235329"/>
          <a:ext cx="6140310" cy="6323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20811</xdr:colOff>
      <xdr:row>21</xdr:row>
      <xdr:rowOff>123264</xdr:rowOff>
    </xdr:from>
    <xdr:to>
      <xdr:col>5</xdr:col>
      <xdr:colOff>1075764</xdr:colOff>
      <xdr:row>24</xdr:row>
      <xdr:rowOff>56030</xdr:rowOff>
    </xdr:to>
    <xdr:sp macro="[0]!SendCfgMsg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6D5FBA4-53D1-4E61-9BBE-75D5D5A32EDB}"/>
            </a:ext>
          </a:extLst>
        </xdr:cNvPr>
        <xdr:cNvSpPr/>
      </xdr:nvSpPr>
      <xdr:spPr>
        <a:xfrm>
          <a:off x="3221211" y="4323789"/>
          <a:ext cx="1054953" cy="50426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SendConfig</a:t>
          </a:r>
        </a:p>
        <a:p>
          <a:pPr algn="l"/>
          <a:r>
            <a:rPr lang="en-US" sz="1100"/>
            <a:t>Message</a:t>
          </a:r>
          <a:endParaRPr lang="en-IL" sz="1100"/>
        </a:p>
      </xdr:txBody>
    </xdr:sp>
    <xdr:clientData/>
  </xdr:twoCellAnchor>
  <xdr:twoCellAnchor editAs="oneCell">
    <xdr:from>
      <xdr:col>7</xdr:col>
      <xdr:colOff>544287</xdr:colOff>
      <xdr:row>30</xdr:row>
      <xdr:rowOff>38100</xdr:rowOff>
    </xdr:from>
    <xdr:to>
      <xdr:col>13</xdr:col>
      <xdr:colOff>99471</xdr:colOff>
      <xdr:row>33</xdr:row>
      <xdr:rowOff>28653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8CEDF-FD64-472D-84BD-6064F70D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8902" y="5972908"/>
          <a:ext cx="6369223" cy="562053"/>
        </a:xfrm>
        <a:prstGeom prst="rect">
          <a:avLst/>
        </a:prstGeom>
      </xdr:spPr>
    </xdr:pic>
    <xdr:clientData/>
  </xdr:twoCellAnchor>
  <xdr:twoCellAnchor>
    <xdr:from>
      <xdr:col>6</xdr:col>
      <xdr:colOff>97973</xdr:colOff>
      <xdr:row>30</xdr:row>
      <xdr:rowOff>125185</xdr:rowOff>
    </xdr:from>
    <xdr:to>
      <xdr:col>6</xdr:col>
      <xdr:colOff>1091296</xdr:colOff>
      <xdr:row>33</xdr:row>
      <xdr:rowOff>125185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9800D5-6249-4910-A08F-EA5CF4EB435C}"/>
            </a:ext>
          </a:extLst>
        </xdr:cNvPr>
        <xdr:cNvSpPr/>
      </xdr:nvSpPr>
      <xdr:spPr>
        <a:xfrm>
          <a:off x="4869998" y="5525860"/>
          <a:ext cx="993323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ReadStatus</a:t>
          </a:r>
        </a:p>
        <a:p>
          <a:pPr algn="l"/>
          <a:r>
            <a:rPr lang="en-US" sz="1100"/>
            <a:t>Reg</a:t>
          </a:r>
          <a:endParaRPr lang="en-IL" sz="1100"/>
        </a:p>
      </xdr:txBody>
    </xdr:sp>
    <xdr:clientData/>
  </xdr:twoCellAnchor>
  <xdr:twoCellAnchor>
    <xdr:from>
      <xdr:col>15</xdr:col>
      <xdr:colOff>1102181</xdr:colOff>
      <xdr:row>30</xdr:row>
      <xdr:rowOff>5443</xdr:rowOff>
    </xdr:from>
    <xdr:to>
      <xdr:col>17</xdr:col>
      <xdr:colOff>122466</xdr:colOff>
      <xdr:row>31</xdr:row>
      <xdr:rowOff>68037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D8275E2-C3AF-4C24-BFEB-C6928D684DCA}"/>
            </a:ext>
          </a:extLst>
        </xdr:cNvPr>
        <xdr:cNvSpPr/>
      </xdr:nvSpPr>
      <xdr:spPr>
        <a:xfrm>
          <a:off x="16304081" y="5406118"/>
          <a:ext cx="1249135" cy="2530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 Serial Num</a:t>
          </a:r>
          <a:endParaRPr lang="en-IL" sz="1100"/>
        </a:p>
      </xdr:txBody>
    </xdr:sp>
    <xdr:clientData/>
  </xdr:twoCellAnchor>
  <xdr:twoCellAnchor>
    <xdr:from>
      <xdr:col>14</xdr:col>
      <xdr:colOff>778330</xdr:colOff>
      <xdr:row>30</xdr:row>
      <xdr:rowOff>0</xdr:rowOff>
    </xdr:from>
    <xdr:to>
      <xdr:col>15</xdr:col>
      <xdr:colOff>914400</xdr:colOff>
      <xdr:row>31</xdr:row>
      <xdr:rowOff>97971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FA1393-E2EB-4440-B8A2-CC4F9123BCAB}"/>
            </a:ext>
          </a:extLst>
        </xdr:cNvPr>
        <xdr:cNvSpPr/>
      </xdr:nvSpPr>
      <xdr:spPr>
        <a:xfrm>
          <a:off x="14865805" y="5400675"/>
          <a:ext cx="1250495" cy="288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</a:t>
          </a:r>
          <a:r>
            <a:rPr lang="en-US" sz="1100"/>
            <a:t>FPGA VEr</a:t>
          </a:r>
          <a:endParaRPr lang="en-IL" sz="1100"/>
        </a:p>
      </xdr:txBody>
    </xdr:sp>
    <xdr:clientData/>
  </xdr:twoCellAnchor>
  <xdr:twoCellAnchor>
    <xdr:from>
      <xdr:col>5</xdr:col>
      <xdr:colOff>223161</xdr:colOff>
      <xdr:row>35</xdr:row>
      <xdr:rowOff>108857</xdr:rowOff>
    </xdr:from>
    <xdr:to>
      <xdr:col>5</xdr:col>
      <xdr:colOff>1374323</xdr:colOff>
      <xdr:row>37</xdr:row>
      <xdr:rowOff>176893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2E1E931-3567-4E39-9133-BCAF84C2F8B8}"/>
            </a:ext>
          </a:extLst>
        </xdr:cNvPr>
        <xdr:cNvSpPr/>
      </xdr:nvSpPr>
      <xdr:spPr>
        <a:xfrm>
          <a:off x="3423561" y="6471557"/>
          <a:ext cx="1151162" cy="4490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8</xdr:col>
      <xdr:colOff>1151168</xdr:colOff>
      <xdr:row>35</xdr:row>
      <xdr:rowOff>179613</xdr:rowOff>
    </xdr:from>
    <xdr:to>
      <xdr:col>9</xdr:col>
      <xdr:colOff>1050473</xdr:colOff>
      <xdr:row>37</xdr:row>
      <xdr:rowOff>97970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7E30525-05AF-460D-9A56-0B4DA2C1FB4A}"/>
            </a:ext>
          </a:extLst>
        </xdr:cNvPr>
        <xdr:cNvSpPr/>
      </xdr:nvSpPr>
      <xdr:spPr>
        <a:xfrm>
          <a:off x="8418743" y="6542313"/>
          <a:ext cx="1147080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5</xdr:col>
      <xdr:colOff>16329</xdr:colOff>
      <xdr:row>25</xdr:row>
      <xdr:rowOff>6723</xdr:rowOff>
    </xdr:from>
    <xdr:to>
      <xdr:col>5</xdr:col>
      <xdr:colOff>1071282</xdr:colOff>
      <xdr:row>26</xdr:row>
      <xdr:rowOff>156883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409191C-385D-4E65-9642-22FD7128373E}"/>
            </a:ext>
          </a:extLst>
        </xdr:cNvPr>
        <xdr:cNvSpPr/>
      </xdr:nvSpPr>
      <xdr:spPr>
        <a:xfrm>
          <a:off x="3198800" y="4444252"/>
          <a:ext cx="1054953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SendLoadRF</a:t>
          </a:r>
        </a:p>
      </xdr:txBody>
    </xdr:sp>
    <xdr:clientData/>
  </xdr:twoCellAnchor>
  <xdr:twoCellAnchor>
    <xdr:from>
      <xdr:col>5</xdr:col>
      <xdr:colOff>28336</xdr:colOff>
      <xdr:row>10</xdr:row>
      <xdr:rowOff>144395</xdr:rowOff>
    </xdr:from>
    <xdr:to>
      <xdr:col>5</xdr:col>
      <xdr:colOff>1251857</xdr:colOff>
      <xdr:row>12</xdr:row>
      <xdr:rowOff>104055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61595E-4167-4799-AD0E-A0CD053A0200}"/>
            </a:ext>
          </a:extLst>
        </xdr:cNvPr>
        <xdr:cNvSpPr/>
      </xdr:nvSpPr>
      <xdr:spPr>
        <a:xfrm>
          <a:off x="3239622" y="2035788"/>
          <a:ext cx="1223521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WriteGlobalCfg</a:t>
          </a:r>
        </a:p>
      </xdr:txBody>
    </xdr:sp>
    <xdr:clientData/>
  </xdr:twoCellAnchor>
  <xdr:twoCellAnchor>
    <xdr:from>
      <xdr:col>4</xdr:col>
      <xdr:colOff>52107</xdr:colOff>
      <xdr:row>39</xdr:row>
      <xdr:rowOff>29695</xdr:rowOff>
    </xdr:from>
    <xdr:to>
      <xdr:col>18</xdr:col>
      <xdr:colOff>200044</xdr:colOff>
      <xdr:row>57</xdr:row>
      <xdr:rowOff>68279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00643B-9742-B17C-143F-E84EF03183AC}"/>
            </a:ext>
          </a:extLst>
        </xdr:cNvPr>
        <xdr:cNvGrpSpPr/>
      </xdr:nvGrpSpPr>
      <xdr:grpSpPr>
        <a:xfrm>
          <a:off x="2490507" y="7687795"/>
          <a:ext cx="16254712" cy="3467584"/>
          <a:chOff x="2652432" y="8116420"/>
          <a:chExt cx="16254712" cy="34675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803B86C-7B6B-79B1-C634-5C350B49FC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52432" y="8116420"/>
            <a:ext cx="16254712" cy="3467584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CBAEE22-F26C-0DE9-73CF-FC4D5D66F50C}"/>
              </a:ext>
            </a:extLst>
          </xdr:cNvPr>
          <xdr:cNvSpPr/>
        </xdr:nvSpPr>
        <xdr:spPr>
          <a:xfrm>
            <a:off x="3749488" y="8364070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RFISRC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6D1179F-44B6-400F-847B-D832927952A7}"/>
              </a:ext>
            </a:extLst>
          </xdr:cNvPr>
          <xdr:cNvSpPr/>
        </xdr:nvSpPr>
        <xdr:spPr>
          <a:xfrm>
            <a:off x="6022602" y="8314764"/>
            <a:ext cx="832036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4D35A69-91E5-4734-95F4-22F7B506B71D}"/>
              </a:ext>
            </a:extLst>
          </xdr:cNvPr>
          <xdr:cNvSpPr/>
        </xdr:nvSpPr>
        <xdr:spPr>
          <a:xfrm>
            <a:off x="6222626" y="10069605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A936539-4461-4EB9-9881-84C22B88E0B9}"/>
              </a:ext>
            </a:extLst>
          </xdr:cNvPr>
          <xdr:cNvSpPr/>
        </xdr:nvSpPr>
        <xdr:spPr>
          <a:xfrm>
            <a:off x="6805332" y="9027458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6A8CBED8-5731-609B-36F0-735E8F533D11}"/>
              </a:ext>
            </a:extLst>
          </xdr:cNvPr>
          <xdr:cNvSpPr/>
        </xdr:nvSpPr>
        <xdr:spPr>
          <a:xfrm>
            <a:off x="6946526" y="9762564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DB38F6E-F738-4952-B862-0DFF90F93809}"/>
              </a:ext>
            </a:extLst>
          </xdr:cNvPr>
          <xdr:cNvSpPr/>
        </xdr:nvSpPr>
        <xdr:spPr>
          <a:xfrm>
            <a:off x="14114369" y="10083052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A46A50C-7D71-1E07-044A-4219E9A9365E}"/>
              </a:ext>
            </a:extLst>
          </xdr:cNvPr>
          <xdr:cNvSpPr/>
        </xdr:nvSpPr>
        <xdr:spPr>
          <a:xfrm>
            <a:off x="14681387" y="9719981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535AAAD-1C9D-8B7F-09EA-CFBADCBE5376}"/>
              </a:ext>
            </a:extLst>
          </xdr:cNvPr>
          <xdr:cNvSpPr/>
        </xdr:nvSpPr>
        <xdr:spPr>
          <a:xfrm>
            <a:off x="15600830" y="94689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346AB33-4F9C-59FB-C6E1-AF5E4FDFDA0F}"/>
              </a:ext>
            </a:extLst>
          </xdr:cNvPr>
          <xdr:cNvSpPr/>
        </xdr:nvSpPr>
        <xdr:spPr>
          <a:xfrm>
            <a:off x="17589874" y="86688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IFOBS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140154</xdr:colOff>
      <xdr:row>29</xdr:row>
      <xdr:rowOff>104774</xdr:rowOff>
    </xdr:from>
    <xdr:to>
      <xdr:col>5</xdr:col>
      <xdr:colOff>1266825</xdr:colOff>
      <xdr:row>32</xdr:row>
      <xdr:rowOff>104774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C007E2-A33F-46B9-BD67-1D789D7646E5}"/>
            </a:ext>
          </a:extLst>
        </xdr:cNvPr>
        <xdr:cNvSpPr/>
      </xdr:nvSpPr>
      <xdr:spPr>
        <a:xfrm>
          <a:off x="3340554" y="5495924"/>
          <a:ext cx="1126671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Configruation</a:t>
          </a:r>
          <a:endParaRPr lang="en-IL" sz="1100"/>
        </a:p>
      </xdr:txBody>
    </xdr:sp>
    <xdr:clientData/>
  </xdr:twoCellAnchor>
  <xdr:twoCellAnchor editAs="oneCell">
    <xdr:from>
      <xdr:col>8</xdr:col>
      <xdr:colOff>115662</xdr:colOff>
      <xdr:row>29</xdr:row>
      <xdr:rowOff>9525</xdr:rowOff>
    </xdr:from>
    <xdr:to>
      <xdr:col>13</xdr:col>
      <xdr:colOff>785271</xdr:colOff>
      <xdr:row>32</xdr:row>
      <xdr:rowOff>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7A683C-8EE8-492F-A1D4-8287FE8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237" y="5419725"/>
          <a:ext cx="6375084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525633</xdr:colOff>
      <xdr:row>33</xdr:row>
      <xdr:rowOff>149679</xdr:rowOff>
    </xdr:from>
    <xdr:to>
      <xdr:col>18</xdr:col>
      <xdr:colOff>177465</xdr:colOff>
      <xdr:row>50</xdr:row>
      <xdr:rowOff>187997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4C0D1-BE73-8E98-E197-BEDE8F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597" y="6558643"/>
          <a:ext cx="16048439" cy="327681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EE34-62CF-470A-B0BB-430B64842E02}">
  <sheetPr codeName="Sheet1"/>
  <dimension ref="A4:AM365"/>
  <sheetViews>
    <sheetView zoomScale="85" zoomScaleNormal="85" workbookViewId="0">
      <selection activeCell="AA22" sqref="AA22:AM22"/>
    </sheetView>
  </sheetViews>
  <sheetFormatPr defaultRowHeight="15" x14ac:dyDescent="0.25"/>
  <cols>
    <col min="1" max="1" width="13.5703125" customWidth="1"/>
    <col min="2" max="3" width="15" customWidth="1"/>
    <col min="4" max="7" width="16.85546875" customWidth="1"/>
    <col min="9" max="9" width="12.85546875" customWidth="1"/>
    <col min="10" max="10" width="18.85546875" style="1" bestFit="1" customWidth="1"/>
    <col min="11" max="16" width="16.7109375" style="1" customWidth="1"/>
    <col min="17" max="17" width="13.85546875" style="1" customWidth="1"/>
    <col min="18" max="18" width="17.140625" style="1" customWidth="1"/>
    <col min="19" max="19" width="18.42578125" customWidth="1"/>
    <col min="20" max="20" width="19.42578125" customWidth="1"/>
    <col min="21" max="23" width="21.140625" customWidth="1"/>
    <col min="30" max="30" width="9.140625" style="1"/>
    <col min="32" max="32" width="7.5703125" customWidth="1"/>
    <col min="33" max="33" width="8.140625" customWidth="1"/>
    <col min="35" max="35" width="8.140625" style="1" customWidth="1"/>
  </cols>
  <sheetData>
    <row r="4" spans="1:18" x14ac:dyDescent="0.25">
      <c r="A4" t="s">
        <v>27</v>
      </c>
      <c r="B4" s="5" t="s">
        <v>28</v>
      </c>
      <c r="C4" s="5" t="s">
        <v>20</v>
      </c>
      <c r="D4" s="35" t="s">
        <v>78</v>
      </c>
      <c r="E4" s="46" t="s">
        <v>18</v>
      </c>
      <c r="F4" s="28" t="s">
        <v>8</v>
      </c>
      <c r="G4" s="28" t="s">
        <v>9</v>
      </c>
      <c r="H4" s="28" t="s">
        <v>83</v>
      </c>
      <c r="I4" s="49" t="s">
        <v>84</v>
      </c>
      <c r="J4" s="28" t="s">
        <v>86</v>
      </c>
    </row>
    <row r="5" spans="1:18" x14ac:dyDescent="0.25">
      <c r="A5">
        <v>0</v>
      </c>
      <c r="B5" s="5">
        <v>-30</v>
      </c>
      <c r="C5" s="5">
        <v>10000</v>
      </c>
      <c r="D5" s="5">
        <v>0</v>
      </c>
      <c r="E5" s="47" t="s">
        <v>6</v>
      </c>
      <c r="F5" s="2" t="s">
        <v>5</v>
      </c>
      <c r="G5" s="2" t="s">
        <v>49</v>
      </c>
      <c r="H5" s="5" t="s">
        <v>25</v>
      </c>
      <c r="I5" s="50" t="s">
        <v>34</v>
      </c>
      <c r="J5" s="28" t="s">
        <v>87</v>
      </c>
      <c r="K5" s="45"/>
      <c r="R5"/>
    </row>
    <row r="6" spans="1:18" x14ac:dyDescent="0.25">
      <c r="A6">
        <v>50</v>
      </c>
      <c r="B6" s="5">
        <v>-31</v>
      </c>
      <c r="C6" s="5">
        <f>C5+125</f>
        <v>10125</v>
      </c>
      <c r="D6" s="5">
        <f>D5+0.5</f>
        <v>0.5</v>
      </c>
      <c r="E6" s="47" t="s">
        <v>7</v>
      </c>
      <c r="F6" s="2" t="s">
        <v>3</v>
      </c>
      <c r="G6" s="2" t="s">
        <v>2</v>
      </c>
      <c r="H6" s="5" t="s">
        <v>33</v>
      </c>
      <c r="I6" s="50" t="s">
        <v>85</v>
      </c>
      <c r="J6" s="2" t="s">
        <v>38</v>
      </c>
      <c r="Q6"/>
      <c r="R6"/>
    </row>
    <row r="7" spans="1:18" x14ac:dyDescent="0.25">
      <c r="A7">
        <v>100</v>
      </c>
      <c r="B7" s="5">
        <v>-32</v>
      </c>
      <c r="C7" s="5">
        <f t="shared" ref="C7:C59" si="0">C6+125</f>
        <v>10250</v>
      </c>
      <c r="D7" s="5">
        <f t="shared" ref="D7:D68" si="1">D6+0.5</f>
        <v>1</v>
      </c>
      <c r="F7" s="2" t="s">
        <v>4</v>
      </c>
      <c r="J7" s="2" t="s">
        <v>88</v>
      </c>
      <c r="Q7"/>
      <c r="R7"/>
    </row>
    <row r="8" spans="1:18" x14ac:dyDescent="0.25">
      <c r="A8">
        <v>150</v>
      </c>
      <c r="B8" s="5">
        <v>-33</v>
      </c>
      <c r="C8" s="5">
        <f t="shared" si="0"/>
        <v>10375</v>
      </c>
      <c r="D8" s="5">
        <f t="shared" si="1"/>
        <v>1.5</v>
      </c>
      <c r="F8" s="2" t="s">
        <v>23</v>
      </c>
      <c r="R8"/>
    </row>
    <row r="9" spans="1:18" x14ac:dyDescent="0.25">
      <c r="A9">
        <v>200</v>
      </c>
      <c r="B9" s="5">
        <v>-34</v>
      </c>
      <c r="C9" s="5">
        <f t="shared" si="0"/>
        <v>10500</v>
      </c>
      <c r="D9" s="5">
        <f t="shared" si="1"/>
        <v>2</v>
      </c>
      <c r="R9"/>
    </row>
    <row r="10" spans="1:18" x14ac:dyDescent="0.25">
      <c r="A10">
        <v>250</v>
      </c>
      <c r="B10" s="5">
        <v>-35</v>
      </c>
      <c r="C10" s="5">
        <f t="shared" si="0"/>
        <v>10625</v>
      </c>
      <c r="D10" s="5">
        <f t="shared" si="1"/>
        <v>2.5</v>
      </c>
      <c r="K10" s="27"/>
      <c r="L10" s="27"/>
      <c r="M10" s="27"/>
      <c r="N10" s="27"/>
    </row>
    <row r="11" spans="1:18" x14ac:dyDescent="0.25">
      <c r="A11">
        <v>300</v>
      </c>
      <c r="B11" s="5">
        <v>-36</v>
      </c>
      <c r="C11" s="5">
        <f t="shared" si="0"/>
        <v>10750</v>
      </c>
      <c r="D11" s="5">
        <f t="shared" si="1"/>
        <v>3</v>
      </c>
    </row>
    <row r="12" spans="1:18" x14ac:dyDescent="0.25">
      <c r="A12">
        <v>350</v>
      </c>
      <c r="B12" s="5">
        <v>-37</v>
      </c>
      <c r="C12" s="5">
        <f t="shared" si="0"/>
        <v>10875</v>
      </c>
      <c r="D12" s="5">
        <f t="shared" si="1"/>
        <v>3.5</v>
      </c>
    </row>
    <row r="13" spans="1:18" x14ac:dyDescent="0.25">
      <c r="A13">
        <v>400</v>
      </c>
      <c r="B13" s="5">
        <v>-38</v>
      </c>
      <c r="C13" s="5">
        <f t="shared" si="0"/>
        <v>11000</v>
      </c>
      <c r="D13" s="5">
        <f t="shared" si="1"/>
        <v>4</v>
      </c>
    </row>
    <row r="14" spans="1:18" x14ac:dyDescent="0.25">
      <c r="A14">
        <v>450</v>
      </c>
      <c r="B14" s="5">
        <v>-39</v>
      </c>
      <c r="C14" s="5">
        <f t="shared" si="0"/>
        <v>11125</v>
      </c>
      <c r="D14" s="5">
        <f t="shared" si="1"/>
        <v>4.5</v>
      </c>
      <c r="K14" s="27"/>
      <c r="L14" s="27"/>
      <c r="M14" s="27"/>
      <c r="N14" s="27"/>
    </row>
    <row r="15" spans="1:18" x14ac:dyDescent="0.25">
      <c r="A15">
        <v>500</v>
      </c>
      <c r="B15" s="5">
        <v>-40</v>
      </c>
      <c r="C15" s="5">
        <f t="shared" si="0"/>
        <v>11250</v>
      </c>
      <c r="D15" s="5">
        <f t="shared" si="1"/>
        <v>5</v>
      </c>
      <c r="I15" s="1"/>
      <c r="J15" s="27"/>
      <c r="K15" s="27"/>
      <c r="L15" s="27"/>
      <c r="M15" s="27"/>
      <c r="R15"/>
    </row>
    <row r="16" spans="1:18" x14ac:dyDescent="0.25">
      <c r="A16">
        <v>550</v>
      </c>
      <c r="B16" s="5">
        <v>-41</v>
      </c>
      <c r="C16" s="5">
        <f t="shared" si="0"/>
        <v>11375</v>
      </c>
      <c r="D16" s="5">
        <f t="shared" si="1"/>
        <v>5.5</v>
      </c>
      <c r="I16" s="1"/>
      <c r="R16"/>
    </row>
    <row r="17" spans="1:39" x14ac:dyDescent="0.25">
      <c r="A17">
        <v>600</v>
      </c>
      <c r="B17" s="5">
        <v>-42</v>
      </c>
      <c r="C17" s="5">
        <f t="shared" si="0"/>
        <v>11500</v>
      </c>
      <c r="D17" s="5">
        <f t="shared" si="1"/>
        <v>6</v>
      </c>
      <c r="K17" s="27"/>
      <c r="L17" s="27"/>
      <c r="M17" s="27"/>
      <c r="N17" s="27"/>
    </row>
    <row r="18" spans="1:39" x14ac:dyDescent="0.25">
      <c r="A18">
        <v>650</v>
      </c>
      <c r="B18" s="5">
        <v>-43</v>
      </c>
      <c r="C18" s="5">
        <f t="shared" si="0"/>
        <v>11625</v>
      </c>
      <c r="D18" s="5">
        <f t="shared" si="1"/>
        <v>6.5</v>
      </c>
      <c r="K18" s="27"/>
      <c r="L18" s="27"/>
      <c r="M18" s="27"/>
      <c r="N18" s="27"/>
    </row>
    <row r="19" spans="1:39" x14ac:dyDescent="0.25">
      <c r="A19">
        <v>700</v>
      </c>
      <c r="B19" s="5">
        <v>-44</v>
      </c>
      <c r="C19" s="5">
        <f t="shared" si="0"/>
        <v>11750</v>
      </c>
      <c r="D19" s="5">
        <f t="shared" si="1"/>
        <v>7</v>
      </c>
    </row>
    <row r="20" spans="1:39" x14ac:dyDescent="0.25">
      <c r="A20">
        <v>750</v>
      </c>
      <c r="B20" s="5">
        <v>-45</v>
      </c>
      <c r="C20" s="5">
        <f t="shared" si="0"/>
        <v>11875</v>
      </c>
      <c r="D20" s="5">
        <f t="shared" si="1"/>
        <v>7.5</v>
      </c>
      <c r="K20" s="27"/>
      <c r="L20" s="27"/>
      <c r="M20" s="27"/>
      <c r="N20" s="27"/>
    </row>
    <row r="21" spans="1:39" x14ac:dyDescent="0.25">
      <c r="A21">
        <v>800</v>
      </c>
      <c r="B21" s="5">
        <v>-46</v>
      </c>
      <c r="C21" s="5">
        <f t="shared" si="0"/>
        <v>12000</v>
      </c>
      <c r="D21" s="5">
        <f t="shared" si="1"/>
        <v>8</v>
      </c>
    </row>
    <row r="22" spans="1:39" x14ac:dyDescent="0.25">
      <c r="A22">
        <v>850</v>
      </c>
      <c r="B22" s="5">
        <v>-47</v>
      </c>
      <c r="C22" s="5">
        <f t="shared" si="0"/>
        <v>12125</v>
      </c>
      <c r="D22" s="5">
        <f t="shared" si="1"/>
        <v>8.5</v>
      </c>
      <c r="K22" s="27"/>
      <c r="L22" s="27"/>
      <c r="M22" s="27"/>
      <c r="N22" s="27"/>
      <c r="AA22" s="88" t="s">
        <v>125</v>
      </c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</row>
    <row r="23" spans="1:39" x14ac:dyDescent="0.25">
      <c r="A23">
        <v>900</v>
      </c>
      <c r="B23" s="5">
        <v>-48</v>
      </c>
      <c r="C23" s="5">
        <f t="shared" si="0"/>
        <v>12250</v>
      </c>
      <c r="D23" s="5">
        <f t="shared" si="1"/>
        <v>9</v>
      </c>
    </row>
    <row r="24" spans="1:39" x14ac:dyDescent="0.25">
      <c r="A24">
        <v>950</v>
      </c>
      <c r="B24" s="5">
        <v>-49</v>
      </c>
      <c r="C24" s="5">
        <f t="shared" si="0"/>
        <v>12375</v>
      </c>
      <c r="D24" s="5">
        <f t="shared" si="1"/>
        <v>9.5</v>
      </c>
    </row>
    <row r="25" spans="1:39" x14ac:dyDescent="0.25">
      <c r="A25">
        <v>1000</v>
      </c>
      <c r="B25" s="5">
        <v>-50</v>
      </c>
      <c r="C25" s="5">
        <f t="shared" si="0"/>
        <v>12500</v>
      </c>
      <c r="D25" s="5">
        <f t="shared" si="1"/>
        <v>10</v>
      </c>
    </row>
    <row r="26" spans="1:39" x14ac:dyDescent="0.25">
      <c r="A26">
        <v>1050</v>
      </c>
      <c r="B26" s="5">
        <v>-51</v>
      </c>
      <c r="C26" s="5">
        <f t="shared" si="0"/>
        <v>12625</v>
      </c>
      <c r="D26" s="5">
        <f t="shared" si="1"/>
        <v>10.5</v>
      </c>
    </row>
    <row r="27" spans="1:39" x14ac:dyDescent="0.25">
      <c r="A27">
        <v>1100</v>
      </c>
      <c r="B27" s="5">
        <v>-52</v>
      </c>
      <c r="C27" s="5">
        <f t="shared" si="0"/>
        <v>12750</v>
      </c>
      <c r="D27" s="5">
        <f t="shared" si="1"/>
        <v>11</v>
      </c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6"/>
      <c r="T27" s="36"/>
      <c r="U27" s="36"/>
      <c r="V27" s="36"/>
      <c r="W27" s="36"/>
    </row>
    <row r="28" spans="1:39" ht="21" x14ac:dyDescent="0.25">
      <c r="A28">
        <v>1150</v>
      </c>
      <c r="B28" s="5">
        <v>-53</v>
      </c>
      <c r="C28" s="5">
        <f t="shared" si="0"/>
        <v>12875</v>
      </c>
      <c r="D28" s="5">
        <f t="shared" si="1"/>
        <v>11.5</v>
      </c>
      <c r="I28" s="36"/>
      <c r="J28" s="59" t="s">
        <v>81</v>
      </c>
      <c r="K28" s="59"/>
      <c r="L28" s="59"/>
      <c r="M28" s="59"/>
      <c r="N28" s="59"/>
      <c r="O28" s="59"/>
      <c r="P28" s="59"/>
      <c r="Q28" s="59"/>
      <c r="R28" s="59"/>
      <c r="S28" s="36"/>
      <c r="T28" s="36"/>
      <c r="U28" s="36"/>
      <c r="V28" s="36"/>
      <c r="W28" s="36"/>
    </row>
    <row r="29" spans="1:39" x14ac:dyDescent="0.25">
      <c r="A29">
        <v>1200</v>
      </c>
      <c r="B29" s="5">
        <v>-54</v>
      </c>
      <c r="C29" s="5">
        <f t="shared" si="0"/>
        <v>13000</v>
      </c>
      <c r="D29" s="5">
        <f t="shared" si="1"/>
        <v>12</v>
      </c>
      <c r="I29" s="36"/>
      <c r="J29" s="38" t="s">
        <v>61</v>
      </c>
      <c r="K29" s="38" t="s">
        <v>55</v>
      </c>
      <c r="L29" s="38" t="s">
        <v>56</v>
      </c>
      <c r="M29" s="38" t="s">
        <v>57</v>
      </c>
      <c r="N29" s="38" t="s">
        <v>58</v>
      </c>
      <c r="O29" s="38" t="s">
        <v>59</v>
      </c>
      <c r="P29" s="38" t="s">
        <v>59</v>
      </c>
      <c r="Q29" s="38" t="s">
        <v>65</v>
      </c>
      <c r="R29" s="38" t="s">
        <v>66</v>
      </c>
      <c r="S29" s="36"/>
      <c r="T29" s="36"/>
      <c r="U29" s="36"/>
      <c r="V29" s="36"/>
      <c r="W29" s="36"/>
      <c r="AA29" s="1" t="s">
        <v>115</v>
      </c>
      <c r="AB29" s="1" t="s">
        <v>116</v>
      </c>
      <c r="AC29" s="1" t="s">
        <v>117</v>
      </c>
      <c r="AD29" s="1" t="s">
        <v>9</v>
      </c>
      <c r="AE29" s="1" t="s">
        <v>8</v>
      </c>
      <c r="AF29" s="1" t="s">
        <v>118</v>
      </c>
      <c r="AG29" s="1" t="s">
        <v>0</v>
      </c>
      <c r="AH29" s="1" t="s">
        <v>119</v>
      </c>
      <c r="AI29" s="1" t="s">
        <v>1</v>
      </c>
      <c r="AJ29" s="1" t="s">
        <v>120</v>
      </c>
      <c r="AK29" s="1" t="s">
        <v>26</v>
      </c>
      <c r="AL29" s="1" t="s">
        <v>121</v>
      </c>
    </row>
    <row r="30" spans="1:39" x14ac:dyDescent="0.25">
      <c r="A30">
        <v>1250</v>
      </c>
      <c r="B30" s="5">
        <v>-55</v>
      </c>
      <c r="C30" s="5">
        <f t="shared" si="0"/>
        <v>13125</v>
      </c>
      <c r="D30" s="5">
        <f t="shared" si="1"/>
        <v>12.5</v>
      </c>
      <c r="I30" s="36"/>
      <c r="J30" s="39" t="s">
        <v>60</v>
      </c>
      <c r="K30" s="39">
        <v>0.38</v>
      </c>
      <c r="L30" s="39">
        <v>0.93</v>
      </c>
      <c r="M30" s="39">
        <v>1.9</v>
      </c>
      <c r="N30" s="39">
        <v>0.62</v>
      </c>
      <c r="O30" s="39">
        <v>1.52</v>
      </c>
      <c r="P30" s="39">
        <v>3.22</v>
      </c>
      <c r="Q30" s="39">
        <v>8</v>
      </c>
      <c r="R30" s="39">
        <v>0.4</v>
      </c>
      <c r="S30" s="36"/>
      <c r="T30" s="36"/>
      <c r="U30" s="36"/>
      <c r="V30" s="36"/>
      <c r="W30" s="36"/>
      <c r="AA30" s="1">
        <v>0</v>
      </c>
      <c r="AB30" s="1">
        <v>0.4</v>
      </c>
      <c r="AC30" s="1">
        <v>1.25</v>
      </c>
      <c r="AD30" s="86" t="s">
        <v>49</v>
      </c>
      <c r="AE30" s="1" t="s">
        <v>5</v>
      </c>
      <c r="AF30" s="1"/>
      <c r="AG30" s="1"/>
      <c r="AH30" s="87" t="s">
        <v>122</v>
      </c>
      <c r="AI30" s="87" t="s">
        <v>122</v>
      </c>
      <c r="AJ30" s="1"/>
      <c r="AK30" s="1"/>
      <c r="AL30" s="1" t="s">
        <v>122</v>
      </c>
    </row>
    <row r="31" spans="1:39" x14ac:dyDescent="0.25">
      <c r="A31">
        <v>1300</v>
      </c>
      <c r="B31" s="5">
        <v>-56</v>
      </c>
      <c r="C31" s="5">
        <f t="shared" si="0"/>
        <v>13250</v>
      </c>
      <c r="D31" s="5">
        <f t="shared" si="1"/>
        <v>13</v>
      </c>
      <c r="I31" s="36"/>
      <c r="J31" s="39" t="s">
        <v>62</v>
      </c>
      <c r="K31" s="39">
        <v>0.39</v>
      </c>
      <c r="L31" s="39">
        <v>0.95</v>
      </c>
      <c r="M31" s="39">
        <v>1.93</v>
      </c>
      <c r="N31" s="39">
        <v>0.64</v>
      </c>
      <c r="O31" s="39">
        <v>1.55</v>
      </c>
      <c r="P31" s="39">
        <v>3.27</v>
      </c>
      <c r="Q31" s="39"/>
      <c r="R31" s="39"/>
      <c r="S31" s="36"/>
      <c r="T31" s="36"/>
      <c r="U31" s="36"/>
      <c r="V31" s="36"/>
      <c r="W31" s="36"/>
      <c r="AA31" s="1">
        <v>1</v>
      </c>
      <c r="AB31" s="1">
        <v>1</v>
      </c>
      <c r="AC31" s="1">
        <v>2.25</v>
      </c>
      <c r="AD31" s="86" t="s">
        <v>49</v>
      </c>
      <c r="AE31" s="1" t="s">
        <v>5</v>
      </c>
      <c r="AF31" s="1"/>
      <c r="AG31" s="1"/>
      <c r="AH31" s="87" t="s">
        <v>122</v>
      </c>
      <c r="AI31" s="87" t="s">
        <v>122</v>
      </c>
      <c r="AJ31" s="1"/>
      <c r="AK31" s="1"/>
      <c r="AL31" s="1" t="s">
        <v>122</v>
      </c>
    </row>
    <row r="32" spans="1:39" x14ac:dyDescent="0.25">
      <c r="A32">
        <v>1350</v>
      </c>
      <c r="B32" s="5">
        <v>-57</v>
      </c>
      <c r="C32" s="5">
        <f t="shared" si="0"/>
        <v>13375</v>
      </c>
      <c r="D32" s="5">
        <f t="shared" si="1"/>
        <v>13.5</v>
      </c>
      <c r="I32" s="36"/>
      <c r="J32" s="39" t="s">
        <v>63</v>
      </c>
      <c r="K32" s="39">
        <v>0.4</v>
      </c>
      <c r="L32" s="39">
        <v>0.96</v>
      </c>
      <c r="M32" s="39">
        <v>2</v>
      </c>
      <c r="N32" s="39">
        <v>0.65</v>
      </c>
      <c r="O32" s="39">
        <v>1.6</v>
      </c>
      <c r="P32" s="39">
        <v>3.33</v>
      </c>
      <c r="Q32" s="39"/>
      <c r="R32" s="39"/>
      <c r="S32" s="36"/>
      <c r="T32" s="36"/>
      <c r="U32" s="36"/>
      <c r="V32" s="36"/>
      <c r="W32" s="36"/>
      <c r="AA32" s="1">
        <v>2</v>
      </c>
      <c r="AB32" s="1">
        <v>2</v>
      </c>
      <c r="AC32" s="1">
        <v>4</v>
      </c>
      <c r="AD32" s="86" t="s">
        <v>3</v>
      </c>
      <c r="AE32" s="1" t="s">
        <v>2</v>
      </c>
      <c r="AF32" s="87" t="s">
        <v>122</v>
      </c>
      <c r="AG32" s="1"/>
      <c r="AH32" s="1"/>
      <c r="AI32" s="87" t="s">
        <v>122</v>
      </c>
      <c r="AJ32" s="1"/>
      <c r="AK32" s="1"/>
      <c r="AL32" s="84">
        <f>19-(AB32+AC32)/2</f>
        <v>16</v>
      </c>
      <c r="AM32" t="s">
        <v>124</v>
      </c>
    </row>
    <row r="33" spans="1:39" x14ac:dyDescent="0.25">
      <c r="A33">
        <v>1400</v>
      </c>
      <c r="B33" s="5">
        <v>-58</v>
      </c>
      <c r="C33" s="5">
        <f t="shared" si="0"/>
        <v>13500</v>
      </c>
      <c r="D33" s="5">
        <f t="shared" si="1"/>
        <v>14</v>
      </c>
      <c r="I33" s="36"/>
      <c r="J33" s="39" t="s">
        <v>64</v>
      </c>
      <c r="K33" s="39">
        <v>0.41</v>
      </c>
      <c r="L33" s="39">
        <v>0.98</v>
      </c>
      <c r="M33" s="39">
        <v>2.02</v>
      </c>
      <c r="N33" s="39">
        <v>0.67</v>
      </c>
      <c r="O33" s="39">
        <v>1.63</v>
      </c>
      <c r="P33" s="39">
        <v>3.39</v>
      </c>
      <c r="Q33" s="39"/>
      <c r="R33" s="39"/>
      <c r="S33" s="36"/>
      <c r="T33" s="36"/>
      <c r="U33" s="36"/>
      <c r="V33" s="36"/>
      <c r="W33" s="36"/>
      <c r="AA33" s="1">
        <v>3</v>
      </c>
      <c r="AB33" s="1">
        <v>4</v>
      </c>
      <c r="AC33" s="1">
        <v>6</v>
      </c>
      <c r="AD33" s="86" t="s">
        <v>3</v>
      </c>
      <c r="AE33" s="1" t="s">
        <v>2</v>
      </c>
      <c r="AF33" s="87" t="s">
        <v>122</v>
      </c>
      <c r="AI33" s="87" t="s">
        <v>122</v>
      </c>
      <c r="AL33" s="84">
        <f>19-(AB33+AC33)/2</f>
        <v>14</v>
      </c>
      <c r="AM33" t="s">
        <v>124</v>
      </c>
    </row>
    <row r="34" spans="1:39" x14ac:dyDescent="0.25">
      <c r="A34">
        <v>1450</v>
      </c>
      <c r="B34" s="5">
        <v>-59</v>
      </c>
      <c r="C34" s="5">
        <f t="shared" si="0"/>
        <v>13625</v>
      </c>
      <c r="D34" s="5">
        <f t="shared" si="1"/>
        <v>14.5</v>
      </c>
      <c r="I34" s="36"/>
      <c r="J34" s="39"/>
      <c r="K34" s="39">
        <v>0.42</v>
      </c>
      <c r="L34" s="39">
        <v>1</v>
      </c>
      <c r="M34" s="39">
        <v>2.11</v>
      </c>
      <c r="N34" s="39">
        <v>0.69</v>
      </c>
      <c r="O34" s="39">
        <v>1.69</v>
      </c>
      <c r="P34" s="39">
        <v>3.55</v>
      </c>
      <c r="Q34" s="39"/>
      <c r="R34" s="39"/>
      <c r="S34" s="36"/>
      <c r="T34" s="36"/>
      <c r="U34" s="36"/>
      <c r="V34" s="36"/>
      <c r="W34" s="36"/>
      <c r="AA34" s="1">
        <v>4</v>
      </c>
      <c r="AB34" s="1">
        <v>6</v>
      </c>
      <c r="AC34" s="1">
        <v>8</v>
      </c>
      <c r="AD34" s="86" t="s">
        <v>4</v>
      </c>
      <c r="AE34" s="1" t="s">
        <v>2</v>
      </c>
      <c r="AF34" s="87" t="s">
        <v>122</v>
      </c>
      <c r="AG34" s="87" t="s">
        <v>122</v>
      </c>
      <c r="AL34" s="84">
        <f>3.75+(AB34+AC34)/2</f>
        <v>10.75</v>
      </c>
      <c r="AM34" t="s">
        <v>124</v>
      </c>
    </row>
    <row r="35" spans="1:39" x14ac:dyDescent="0.25">
      <c r="A35">
        <v>1500</v>
      </c>
      <c r="B35" s="5">
        <v>-60</v>
      </c>
      <c r="C35" s="5">
        <f t="shared" si="0"/>
        <v>13750</v>
      </c>
      <c r="D35" s="5">
        <f t="shared" si="1"/>
        <v>15</v>
      </c>
      <c r="I35" s="36"/>
      <c r="J35" s="39"/>
      <c r="K35" s="39">
        <v>0.43</v>
      </c>
      <c r="L35" s="39">
        <v>1.02</v>
      </c>
      <c r="M35" s="39">
        <v>2.16</v>
      </c>
      <c r="N35" s="39">
        <v>0.71</v>
      </c>
      <c r="O35" s="39">
        <v>1.73</v>
      </c>
      <c r="P35" s="39">
        <v>3.6</v>
      </c>
      <c r="Q35" s="39"/>
      <c r="R35" s="39"/>
      <c r="S35" s="36"/>
      <c r="T35" s="36"/>
      <c r="U35" s="36"/>
      <c r="V35" s="36"/>
      <c r="W35" s="36"/>
      <c r="AA35" s="1">
        <v>5</v>
      </c>
      <c r="AB35" s="1">
        <v>8</v>
      </c>
      <c r="AC35" s="1">
        <v>10</v>
      </c>
      <c r="AD35" s="86" t="s">
        <v>4</v>
      </c>
      <c r="AE35" s="1" t="s">
        <v>2</v>
      </c>
      <c r="AF35" s="87" t="s">
        <v>122</v>
      </c>
      <c r="AG35" s="87" t="s">
        <v>122</v>
      </c>
      <c r="AL35" s="84">
        <f>3.75+(AB35+AC35)/2</f>
        <v>12.75</v>
      </c>
      <c r="AM35" t="s">
        <v>124</v>
      </c>
    </row>
    <row r="36" spans="1:39" x14ac:dyDescent="0.25">
      <c r="A36">
        <v>1550</v>
      </c>
      <c r="B36" s="5">
        <v>-61</v>
      </c>
      <c r="C36" s="5">
        <f t="shared" si="0"/>
        <v>13875</v>
      </c>
      <c r="D36" s="5">
        <f t="shared" si="1"/>
        <v>15.5</v>
      </c>
      <c r="I36" s="36"/>
      <c r="J36" s="39"/>
      <c r="K36" s="39">
        <v>0.45</v>
      </c>
      <c r="L36" s="39">
        <v>1.05</v>
      </c>
      <c r="M36" s="39">
        <v>2.25</v>
      </c>
      <c r="N36" s="39">
        <v>0.73</v>
      </c>
      <c r="O36" s="39">
        <v>1.79</v>
      </c>
      <c r="P36" s="39">
        <v>3.7</v>
      </c>
      <c r="Q36" s="39"/>
      <c r="R36" s="39"/>
      <c r="S36" s="36"/>
      <c r="T36" s="36"/>
      <c r="U36" s="36"/>
      <c r="V36" s="36"/>
      <c r="W36" s="36"/>
      <c r="AA36" s="1">
        <v>6</v>
      </c>
      <c r="AB36" s="1">
        <v>10</v>
      </c>
      <c r="AC36" s="1">
        <v>12</v>
      </c>
      <c r="AD36" s="86" t="s">
        <v>4</v>
      </c>
      <c r="AE36" s="1" t="s">
        <v>2</v>
      </c>
      <c r="AF36" s="87" t="s">
        <v>122</v>
      </c>
      <c r="AG36" s="87" t="s">
        <v>122</v>
      </c>
      <c r="AL36" s="84">
        <f>3.75+(AB36+AC36)/2</f>
        <v>14.75</v>
      </c>
      <c r="AM36" t="s">
        <v>124</v>
      </c>
    </row>
    <row r="37" spans="1:39" x14ac:dyDescent="0.25">
      <c r="A37">
        <v>1600</v>
      </c>
      <c r="B37" s="5">
        <v>-62</v>
      </c>
      <c r="C37" s="5">
        <f t="shared" si="0"/>
        <v>14000</v>
      </c>
      <c r="D37" s="5">
        <f t="shared" si="1"/>
        <v>16</v>
      </c>
      <c r="I37" s="36"/>
      <c r="J37" s="39"/>
      <c r="K37" s="39">
        <v>0.47</v>
      </c>
      <c r="L37" s="39">
        <v>1.07</v>
      </c>
      <c r="M37" s="39">
        <v>2.2999999999999998</v>
      </c>
      <c r="N37" s="39">
        <v>0.76</v>
      </c>
      <c r="O37" s="39">
        <v>1.84</v>
      </c>
      <c r="P37" s="39">
        <v>3.8</v>
      </c>
      <c r="Q37" s="39"/>
      <c r="R37" s="39"/>
      <c r="S37" s="36"/>
      <c r="T37" s="36"/>
      <c r="U37" s="36"/>
      <c r="V37" s="36"/>
      <c r="W37" s="36"/>
      <c r="AA37" s="1">
        <v>7</v>
      </c>
      <c r="AB37" s="1">
        <v>12</v>
      </c>
      <c r="AC37" s="1">
        <v>14</v>
      </c>
      <c r="AD37" s="86" t="s">
        <v>4</v>
      </c>
      <c r="AE37" s="1" t="s">
        <v>2</v>
      </c>
      <c r="AF37" s="87" t="s">
        <v>122</v>
      </c>
      <c r="AG37" s="87" t="s">
        <v>122</v>
      </c>
      <c r="AL37" s="84">
        <f>3.75+(AB37+AC37)/2</f>
        <v>16.75</v>
      </c>
      <c r="AM37" t="s">
        <v>124</v>
      </c>
    </row>
    <row r="38" spans="1:39" x14ac:dyDescent="0.25">
      <c r="A38">
        <v>1650</v>
      </c>
      <c r="B38" s="5">
        <v>-63</v>
      </c>
      <c r="C38" s="5">
        <f t="shared" si="0"/>
        <v>14125</v>
      </c>
      <c r="D38" s="5">
        <f t="shared" si="1"/>
        <v>16.5</v>
      </c>
      <c r="I38" s="36"/>
      <c r="J38" s="39"/>
      <c r="K38" s="39">
        <v>0.5</v>
      </c>
      <c r="L38" s="39">
        <v>1.17</v>
      </c>
      <c r="M38" s="39">
        <v>2.7</v>
      </c>
      <c r="N38" s="39">
        <v>0.78</v>
      </c>
      <c r="O38" s="39">
        <v>1.92</v>
      </c>
      <c r="P38" s="39">
        <v>4.0999999999999996</v>
      </c>
      <c r="Q38" s="39"/>
      <c r="R38" s="39"/>
      <c r="S38" s="36"/>
      <c r="T38" s="36"/>
      <c r="U38" s="36"/>
      <c r="V38" s="36"/>
      <c r="W38" s="36"/>
      <c r="AA38" s="1">
        <v>8</v>
      </c>
      <c r="AB38" s="1">
        <v>14</v>
      </c>
      <c r="AC38" s="1">
        <v>16</v>
      </c>
      <c r="AD38" s="86" t="s">
        <v>4</v>
      </c>
      <c r="AE38" s="1" t="s">
        <v>2</v>
      </c>
      <c r="AF38" s="87" t="s">
        <v>122</v>
      </c>
      <c r="AG38" s="87" t="s">
        <v>122</v>
      </c>
      <c r="AL38" s="85">
        <f>(AB38+AC38)/2-3.75</f>
        <v>11.25</v>
      </c>
      <c r="AM38" t="s">
        <v>123</v>
      </c>
    </row>
    <row r="39" spans="1:39" x14ac:dyDescent="0.25">
      <c r="A39">
        <v>1700</v>
      </c>
      <c r="B39" s="5">
        <v>-64</v>
      </c>
      <c r="C39" s="5">
        <f t="shared" si="0"/>
        <v>14250</v>
      </c>
      <c r="D39" s="5">
        <f t="shared" si="1"/>
        <v>17</v>
      </c>
      <c r="I39" s="36"/>
      <c r="J39" s="39"/>
      <c r="K39" s="39">
        <v>0.52</v>
      </c>
      <c r="L39" s="39">
        <v>1.2</v>
      </c>
      <c r="M39" s="39">
        <v>2.8</v>
      </c>
      <c r="N39" s="39">
        <v>0.81</v>
      </c>
      <c r="O39" s="39">
        <v>1.97</v>
      </c>
      <c r="P39" s="39">
        <v>4.25</v>
      </c>
      <c r="Q39" s="39"/>
      <c r="R39" s="39"/>
      <c r="S39" s="36"/>
      <c r="T39" s="36"/>
      <c r="U39" s="36"/>
      <c r="V39" s="36"/>
      <c r="W39" s="36"/>
      <c r="AA39" s="1">
        <v>10</v>
      </c>
      <c r="AB39" s="1">
        <v>16</v>
      </c>
      <c r="AC39" s="1">
        <v>18</v>
      </c>
      <c r="AD39" s="86" t="s">
        <v>4</v>
      </c>
      <c r="AE39" s="1" t="s">
        <v>2</v>
      </c>
      <c r="AF39" s="87" t="s">
        <v>122</v>
      </c>
      <c r="AG39" s="87" t="s">
        <v>122</v>
      </c>
      <c r="AL39" s="85">
        <f>(AB39+AC39)/2-3.75</f>
        <v>13.25</v>
      </c>
      <c r="AM39" t="s">
        <v>123</v>
      </c>
    </row>
    <row r="40" spans="1:39" x14ac:dyDescent="0.25">
      <c r="A40">
        <v>1750</v>
      </c>
      <c r="B40" s="5">
        <v>-65</v>
      </c>
      <c r="C40" s="5">
        <f t="shared" si="0"/>
        <v>14375</v>
      </c>
      <c r="D40" s="5">
        <f t="shared" si="1"/>
        <v>17.5</v>
      </c>
      <c r="I40" s="36"/>
      <c r="J40" s="39"/>
      <c r="K40" s="39">
        <v>0.55000000000000004</v>
      </c>
      <c r="L40" s="39">
        <v>1.23</v>
      </c>
      <c r="M40" s="39">
        <v>2.95</v>
      </c>
      <c r="N40" s="39">
        <v>0.85</v>
      </c>
      <c r="O40" s="39">
        <v>2.0499999999999998</v>
      </c>
      <c r="P40" s="39">
        <v>4.5</v>
      </c>
      <c r="Q40" s="39"/>
      <c r="R40" s="39"/>
      <c r="S40" s="36"/>
      <c r="T40" s="36"/>
      <c r="U40" s="36"/>
      <c r="V40" s="36"/>
      <c r="W40" s="36"/>
    </row>
    <row r="41" spans="1:39" x14ac:dyDescent="0.25">
      <c r="A41">
        <v>1800</v>
      </c>
      <c r="B41" s="5">
        <v>-66</v>
      </c>
      <c r="C41" s="5">
        <f t="shared" si="0"/>
        <v>14500</v>
      </c>
      <c r="D41" s="5">
        <f t="shared" si="1"/>
        <v>18</v>
      </c>
      <c r="I41" s="36"/>
      <c r="J41" s="39"/>
      <c r="K41" s="39">
        <v>0.56999999999999995</v>
      </c>
      <c r="L41" s="39">
        <v>1.26</v>
      </c>
      <c r="M41" s="39">
        <v>3.1</v>
      </c>
      <c r="N41" s="39">
        <v>0.91</v>
      </c>
      <c r="O41" s="39">
        <v>2.12</v>
      </c>
      <c r="P41" s="39">
        <v>4.75</v>
      </c>
      <c r="Q41" s="39"/>
      <c r="R41" s="39"/>
      <c r="S41" s="36"/>
      <c r="T41" s="36"/>
      <c r="U41" s="36"/>
      <c r="V41" s="36"/>
      <c r="W41" s="36"/>
    </row>
    <row r="42" spans="1:39" x14ac:dyDescent="0.25">
      <c r="A42">
        <v>1850</v>
      </c>
      <c r="B42" s="5">
        <v>-67</v>
      </c>
      <c r="C42" s="5">
        <f t="shared" si="0"/>
        <v>14625</v>
      </c>
      <c r="D42" s="5">
        <f t="shared" si="1"/>
        <v>18.5</v>
      </c>
      <c r="I42" s="36"/>
      <c r="J42" s="39"/>
      <c r="K42" s="39">
        <v>0.64</v>
      </c>
      <c r="L42" s="39">
        <v>1.39</v>
      </c>
      <c r="M42" s="39">
        <v>3.5</v>
      </c>
      <c r="N42" s="39">
        <v>0.95</v>
      </c>
      <c r="O42" s="39">
        <v>2.23</v>
      </c>
      <c r="P42" s="39">
        <v>5.55</v>
      </c>
      <c r="Q42" s="39"/>
      <c r="R42" s="39"/>
      <c r="S42" s="36"/>
      <c r="T42" s="36"/>
      <c r="U42" s="36"/>
      <c r="V42" s="36"/>
      <c r="W42" s="36"/>
    </row>
    <row r="43" spans="1:39" x14ac:dyDescent="0.25">
      <c r="A43">
        <v>1900</v>
      </c>
      <c r="B43" s="5">
        <v>-68</v>
      </c>
      <c r="C43" s="5">
        <f t="shared" si="0"/>
        <v>14750</v>
      </c>
      <c r="D43" s="5">
        <f t="shared" si="1"/>
        <v>19</v>
      </c>
      <c r="I43" s="36"/>
      <c r="J43" s="39"/>
      <c r="K43" s="39">
        <v>0.68</v>
      </c>
      <c r="L43" s="39">
        <v>1.43</v>
      </c>
      <c r="M43" s="39">
        <v>3.75</v>
      </c>
      <c r="N43" s="39">
        <v>1.04</v>
      </c>
      <c r="O43" s="39">
        <v>2.3199999999999998</v>
      </c>
      <c r="P43" s="39">
        <v>6</v>
      </c>
      <c r="Q43" s="39"/>
      <c r="R43" s="39"/>
      <c r="S43" s="36"/>
      <c r="T43" s="36"/>
      <c r="U43" s="36"/>
      <c r="V43" s="36"/>
      <c r="W43" s="36"/>
    </row>
    <row r="44" spans="1:39" x14ac:dyDescent="0.25">
      <c r="A44">
        <v>1950</v>
      </c>
      <c r="B44" s="5">
        <v>-69</v>
      </c>
      <c r="C44" s="5">
        <f t="shared" si="0"/>
        <v>14875</v>
      </c>
      <c r="D44" s="5">
        <f t="shared" si="1"/>
        <v>19.5</v>
      </c>
      <c r="I44" s="36"/>
      <c r="J44" s="39"/>
      <c r="K44" s="39">
        <v>0.75</v>
      </c>
      <c r="L44" s="39">
        <v>1.5</v>
      </c>
      <c r="M44" s="39">
        <v>4.3499999999999996</v>
      </c>
      <c r="N44" s="39">
        <v>1.1499999999999999</v>
      </c>
      <c r="O44" s="39">
        <v>2.4700000000000002</v>
      </c>
      <c r="P44" s="39">
        <v>6.75</v>
      </c>
      <c r="Q44" s="39"/>
      <c r="R44" s="39"/>
      <c r="S44" s="36"/>
      <c r="T44" s="36"/>
      <c r="U44" s="36"/>
      <c r="V44" s="36"/>
      <c r="W44" s="36"/>
    </row>
    <row r="45" spans="1:39" x14ac:dyDescent="0.25">
      <c r="A45">
        <v>2000</v>
      </c>
      <c r="B45" s="5">
        <v>-70</v>
      </c>
      <c r="C45" s="5">
        <f t="shared" si="0"/>
        <v>15000</v>
      </c>
      <c r="D45" s="5">
        <f t="shared" si="1"/>
        <v>20</v>
      </c>
      <c r="I45" s="36"/>
      <c r="J45" s="39"/>
      <c r="K45" s="39">
        <v>0.84</v>
      </c>
      <c r="L45" s="39">
        <v>1.59</v>
      </c>
      <c r="M45" s="39">
        <v>4.95</v>
      </c>
      <c r="N45" s="39">
        <v>1.3</v>
      </c>
      <c r="O45" s="39">
        <v>2.6</v>
      </c>
      <c r="P45" s="39">
        <v>8</v>
      </c>
      <c r="Q45" s="39"/>
      <c r="R45" s="39"/>
      <c r="S45" s="36"/>
      <c r="T45" s="36"/>
      <c r="U45" s="36"/>
      <c r="V45" s="36"/>
      <c r="W45" s="36"/>
    </row>
    <row r="46" spans="1:39" x14ac:dyDescent="0.25">
      <c r="A46">
        <v>2050</v>
      </c>
      <c r="B46" s="5">
        <v>-71</v>
      </c>
      <c r="C46" s="5">
        <f t="shared" si="0"/>
        <v>15125</v>
      </c>
      <c r="D46" s="5">
        <f t="shared" si="1"/>
        <v>20.5</v>
      </c>
      <c r="I46" s="36"/>
      <c r="J46" s="37"/>
      <c r="K46" s="37"/>
      <c r="L46" s="37"/>
      <c r="M46" s="37"/>
      <c r="N46" s="37"/>
      <c r="O46" s="37"/>
      <c r="P46" s="37"/>
      <c r="Q46" s="37"/>
      <c r="R46" s="37"/>
      <c r="S46" s="36"/>
      <c r="T46" s="36"/>
      <c r="U46" s="36"/>
      <c r="V46" s="36"/>
      <c r="W46" s="36"/>
    </row>
    <row r="47" spans="1:39" x14ac:dyDescent="0.25">
      <c r="A47">
        <v>2100</v>
      </c>
      <c r="B47" s="5">
        <v>-72</v>
      </c>
      <c r="C47" s="5">
        <f t="shared" si="0"/>
        <v>15250</v>
      </c>
      <c r="D47" s="5">
        <f t="shared" si="1"/>
        <v>21</v>
      </c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6"/>
      <c r="T47" s="36"/>
      <c r="U47" s="36"/>
      <c r="V47" s="36"/>
      <c r="W47" s="36"/>
    </row>
    <row r="48" spans="1:39" x14ac:dyDescent="0.25">
      <c r="A48">
        <v>2150</v>
      </c>
      <c r="B48" s="5">
        <v>-73</v>
      </c>
      <c r="C48" s="5">
        <f t="shared" si="0"/>
        <v>15375</v>
      </c>
      <c r="D48" s="5">
        <f t="shared" si="1"/>
        <v>21.5</v>
      </c>
      <c r="I48" s="36"/>
      <c r="J48" s="37"/>
      <c r="K48" s="37"/>
      <c r="L48" s="37"/>
      <c r="M48" s="37"/>
      <c r="N48" s="37"/>
      <c r="O48" s="37"/>
      <c r="P48" s="37"/>
      <c r="Q48" s="37"/>
      <c r="R48" s="37"/>
      <c r="S48" s="36"/>
      <c r="T48" s="36"/>
      <c r="U48" s="36"/>
      <c r="V48" s="36"/>
      <c r="W48" s="36"/>
    </row>
    <row r="49" spans="1:23" x14ac:dyDescent="0.25">
      <c r="A49">
        <v>2200</v>
      </c>
      <c r="B49" s="5">
        <v>-74</v>
      </c>
      <c r="C49" s="5">
        <f t="shared" si="0"/>
        <v>15500</v>
      </c>
      <c r="D49" s="5">
        <f t="shared" si="1"/>
        <v>22</v>
      </c>
      <c r="I49" s="36"/>
      <c r="J49" s="37"/>
      <c r="K49" s="37"/>
      <c r="L49" s="37"/>
      <c r="M49" s="37"/>
      <c r="N49" s="37"/>
      <c r="O49" s="37"/>
      <c r="P49" s="37"/>
      <c r="Q49" s="37"/>
      <c r="R49" s="37"/>
      <c r="S49" s="36"/>
      <c r="T49" s="36"/>
      <c r="U49" s="36"/>
      <c r="V49" s="36"/>
      <c r="W49" s="36"/>
    </row>
    <row r="50" spans="1:23" x14ac:dyDescent="0.25">
      <c r="A50">
        <v>2250</v>
      </c>
      <c r="B50" s="5">
        <v>-75</v>
      </c>
      <c r="C50" s="5">
        <f t="shared" si="0"/>
        <v>15625</v>
      </c>
      <c r="D50" s="5">
        <f t="shared" si="1"/>
        <v>22.5</v>
      </c>
      <c r="I50" s="36"/>
      <c r="J50" s="37"/>
      <c r="K50" s="37"/>
      <c r="L50" s="37"/>
      <c r="M50" s="37"/>
      <c r="N50" s="37"/>
      <c r="O50" s="37"/>
      <c r="P50" s="37"/>
      <c r="Q50" s="37"/>
      <c r="R50" s="37"/>
      <c r="S50" s="36"/>
      <c r="T50" s="36"/>
      <c r="U50" s="36"/>
      <c r="V50" s="36"/>
      <c r="W50" s="36"/>
    </row>
    <row r="51" spans="1:23" x14ac:dyDescent="0.25">
      <c r="A51">
        <v>2300</v>
      </c>
      <c r="B51" s="5">
        <v>-76</v>
      </c>
      <c r="C51" s="5">
        <f t="shared" si="0"/>
        <v>15750</v>
      </c>
      <c r="D51" s="5">
        <f t="shared" si="1"/>
        <v>23</v>
      </c>
      <c r="I51" s="36"/>
      <c r="J51" s="37"/>
      <c r="K51" s="37"/>
      <c r="L51" s="37"/>
      <c r="M51" s="37"/>
      <c r="N51" s="37"/>
      <c r="O51" s="37"/>
      <c r="P51" s="37"/>
      <c r="Q51" s="37"/>
      <c r="R51" s="37"/>
      <c r="S51" s="36"/>
      <c r="T51" s="36"/>
      <c r="U51" s="36"/>
      <c r="V51" s="36"/>
      <c r="W51" s="36"/>
    </row>
    <row r="52" spans="1:23" x14ac:dyDescent="0.25">
      <c r="A52">
        <v>2350</v>
      </c>
      <c r="B52" s="5">
        <v>-77</v>
      </c>
      <c r="C52" s="5">
        <f t="shared" si="0"/>
        <v>15875</v>
      </c>
      <c r="D52" s="5">
        <f t="shared" si="1"/>
        <v>23.5</v>
      </c>
      <c r="I52" s="36"/>
      <c r="J52" s="37"/>
      <c r="K52" s="37"/>
      <c r="L52" s="37"/>
      <c r="M52" s="37"/>
      <c r="N52" s="37"/>
      <c r="O52" s="37"/>
      <c r="P52" s="37"/>
      <c r="Q52" s="37"/>
      <c r="R52" s="37"/>
      <c r="S52" s="36"/>
      <c r="T52" s="36"/>
      <c r="U52" s="36"/>
      <c r="V52" s="36"/>
      <c r="W52" s="36"/>
    </row>
    <row r="53" spans="1:23" x14ac:dyDescent="0.25">
      <c r="A53">
        <v>2400</v>
      </c>
      <c r="B53" s="5">
        <v>-78</v>
      </c>
      <c r="C53" s="5">
        <f t="shared" si="0"/>
        <v>16000</v>
      </c>
      <c r="D53" s="5">
        <f t="shared" si="1"/>
        <v>24</v>
      </c>
      <c r="I53" s="36"/>
      <c r="J53" s="37"/>
      <c r="K53" s="37"/>
      <c r="L53" s="37"/>
      <c r="M53" s="37"/>
      <c r="N53" s="37"/>
      <c r="O53" s="37"/>
      <c r="P53" s="37"/>
      <c r="Q53" s="37"/>
      <c r="R53" s="37"/>
      <c r="S53" s="36"/>
      <c r="T53" s="36"/>
      <c r="U53" s="36"/>
      <c r="V53" s="36"/>
      <c r="W53" s="36"/>
    </row>
    <row r="54" spans="1:23" x14ac:dyDescent="0.25">
      <c r="A54">
        <v>2450</v>
      </c>
      <c r="B54" s="5">
        <v>-79</v>
      </c>
      <c r="C54" s="5">
        <f t="shared" si="0"/>
        <v>16125</v>
      </c>
      <c r="D54" s="5">
        <f t="shared" si="1"/>
        <v>24.5</v>
      </c>
      <c r="I54" s="36"/>
      <c r="J54" s="37"/>
      <c r="K54" s="37"/>
      <c r="L54" s="37"/>
      <c r="M54" s="37"/>
      <c r="N54" s="37"/>
      <c r="O54" s="37"/>
      <c r="P54" s="37"/>
      <c r="Q54" s="37"/>
      <c r="R54" s="37"/>
      <c r="S54" s="36"/>
      <c r="T54" s="36"/>
      <c r="U54" s="36"/>
      <c r="V54" s="36"/>
      <c r="W54" s="36"/>
    </row>
    <row r="55" spans="1:23" x14ac:dyDescent="0.25">
      <c r="A55">
        <v>2500</v>
      </c>
      <c r="B55" s="5">
        <v>-80</v>
      </c>
      <c r="C55" s="5">
        <f t="shared" si="0"/>
        <v>16250</v>
      </c>
      <c r="D55" s="5">
        <f t="shared" si="1"/>
        <v>25</v>
      </c>
      <c r="I55" s="36"/>
      <c r="J55" s="37"/>
      <c r="K55" s="37"/>
      <c r="L55" s="37"/>
      <c r="M55" s="37"/>
      <c r="N55" s="37"/>
      <c r="O55" s="37"/>
      <c r="P55" s="37"/>
      <c r="Q55" s="37"/>
      <c r="R55" s="37"/>
      <c r="S55" s="36"/>
      <c r="T55" s="36"/>
      <c r="U55" s="36"/>
      <c r="V55" s="36"/>
      <c r="W55" s="36"/>
    </row>
    <row r="56" spans="1:23" x14ac:dyDescent="0.25">
      <c r="A56">
        <v>2550</v>
      </c>
      <c r="B56" s="5">
        <v>-81</v>
      </c>
      <c r="C56" s="5">
        <f t="shared" si="0"/>
        <v>16375</v>
      </c>
      <c r="D56" s="5">
        <f t="shared" si="1"/>
        <v>25.5</v>
      </c>
      <c r="I56" s="36"/>
      <c r="J56" s="37"/>
      <c r="K56" s="37"/>
      <c r="L56" s="37"/>
      <c r="M56" s="37"/>
      <c r="N56" s="37"/>
      <c r="O56" s="37"/>
      <c r="P56" s="37"/>
      <c r="Q56" s="37"/>
      <c r="R56" s="37"/>
      <c r="S56" s="36"/>
      <c r="T56" s="36"/>
      <c r="U56" s="36"/>
      <c r="V56" s="36"/>
      <c r="W56" s="36"/>
    </row>
    <row r="57" spans="1:23" x14ac:dyDescent="0.25">
      <c r="A57">
        <v>2600</v>
      </c>
      <c r="B57" s="5">
        <v>-82</v>
      </c>
      <c r="C57" s="5">
        <f t="shared" si="0"/>
        <v>16500</v>
      </c>
      <c r="D57" s="5">
        <f t="shared" si="1"/>
        <v>26</v>
      </c>
      <c r="I57" s="36"/>
      <c r="J57" s="37"/>
      <c r="K57" s="37"/>
      <c r="L57" s="37"/>
      <c r="M57" s="37"/>
      <c r="N57" s="37"/>
      <c r="O57" s="37"/>
      <c r="P57" s="37"/>
      <c r="Q57" s="37"/>
      <c r="R57" s="37"/>
      <c r="S57" s="36"/>
      <c r="T57" s="36"/>
      <c r="U57" s="36"/>
      <c r="V57" s="36"/>
      <c r="W57" s="36"/>
    </row>
    <row r="58" spans="1:23" x14ac:dyDescent="0.25">
      <c r="A58">
        <v>2650</v>
      </c>
      <c r="B58" s="5">
        <v>-83</v>
      </c>
      <c r="C58" s="5">
        <f t="shared" si="0"/>
        <v>16625</v>
      </c>
      <c r="D58" s="5">
        <f t="shared" si="1"/>
        <v>26.5</v>
      </c>
      <c r="I58" s="36"/>
      <c r="J58" s="37"/>
      <c r="K58" s="37"/>
      <c r="L58" s="37"/>
      <c r="M58" s="37"/>
      <c r="N58" s="37"/>
      <c r="O58" s="37"/>
      <c r="P58" s="37"/>
      <c r="Q58" s="37"/>
      <c r="R58" s="37"/>
      <c r="S58" s="36"/>
      <c r="T58" s="36"/>
      <c r="U58" s="36"/>
      <c r="V58" s="36"/>
      <c r="W58" s="36"/>
    </row>
    <row r="59" spans="1:23" x14ac:dyDescent="0.25">
      <c r="A59">
        <v>2700</v>
      </c>
      <c r="B59" s="5">
        <v>-84</v>
      </c>
      <c r="C59" s="5">
        <f t="shared" si="0"/>
        <v>16750</v>
      </c>
      <c r="D59" s="5">
        <f t="shared" si="1"/>
        <v>27</v>
      </c>
      <c r="I59" s="36"/>
      <c r="J59" s="37"/>
      <c r="K59" s="37"/>
      <c r="L59" s="37"/>
      <c r="M59" s="37"/>
      <c r="N59" s="37"/>
      <c r="O59" s="37"/>
      <c r="P59" s="37"/>
      <c r="Q59" s="37"/>
      <c r="R59" s="37"/>
      <c r="S59" s="36"/>
      <c r="T59" s="36"/>
      <c r="U59" s="36"/>
      <c r="V59" s="36"/>
      <c r="W59" s="36"/>
    </row>
    <row r="60" spans="1:23" x14ac:dyDescent="0.25">
      <c r="A60">
        <v>2750</v>
      </c>
      <c r="B60" s="5">
        <v>-85</v>
      </c>
      <c r="C60" s="5"/>
      <c r="D60" s="5">
        <f t="shared" si="1"/>
        <v>27.5</v>
      </c>
      <c r="I60" s="36"/>
      <c r="J60" s="37"/>
      <c r="K60" s="37"/>
      <c r="L60" s="37"/>
      <c r="M60" s="37"/>
      <c r="N60" s="37"/>
      <c r="O60" s="37"/>
      <c r="P60" s="37"/>
      <c r="Q60" s="37"/>
      <c r="R60" s="37"/>
      <c r="S60" s="36"/>
      <c r="T60" s="36"/>
      <c r="U60" s="36"/>
      <c r="V60" s="36"/>
      <c r="W60" s="36"/>
    </row>
    <row r="61" spans="1:23" x14ac:dyDescent="0.25">
      <c r="A61">
        <v>2800</v>
      </c>
      <c r="B61" s="5">
        <v>-86</v>
      </c>
      <c r="C61" s="5"/>
      <c r="D61" s="5">
        <f t="shared" si="1"/>
        <v>28</v>
      </c>
      <c r="I61" s="36"/>
      <c r="J61" s="37"/>
      <c r="K61" s="37"/>
      <c r="L61" s="37"/>
      <c r="M61" s="37"/>
      <c r="N61" s="37"/>
      <c r="O61" s="37"/>
      <c r="P61" s="37"/>
      <c r="Q61" s="37"/>
      <c r="R61" s="37"/>
      <c r="S61" s="36"/>
      <c r="T61" s="36"/>
      <c r="U61" s="36"/>
      <c r="V61" s="36"/>
      <c r="W61" s="36"/>
    </row>
    <row r="62" spans="1:23" x14ac:dyDescent="0.25">
      <c r="A62">
        <v>2850</v>
      </c>
      <c r="B62" s="5">
        <v>-87</v>
      </c>
      <c r="C62" s="5"/>
      <c r="D62" s="5">
        <f t="shared" si="1"/>
        <v>28.5</v>
      </c>
      <c r="I62" s="36"/>
      <c r="J62" s="37"/>
      <c r="K62" s="37"/>
      <c r="L62" s="37"/>
      <c r="M62" s="37"/>
      <c r="N62" s="37"/>
      <c r="O62" s="37"/>
      <c r="P62" s="37"/>
      <c r="Q62" s="37"/>
      <c r="R62" s="37"/>
      <c r="S62" s="36"/>
      <c r="T62" s="36"/>
      <c r="U62" s="36"/>
      <c r="V62" s="36"/>
      <c r="W62" s="36"/>
    </row>
    <row r="63" spans="1:23" x14ac:dyDescent="0.25">
      <c r="A63">
        <v>2900</v>
      </c>
      <c r="B63" s="5">
        <v>-88</v>
      </c>
      <c r="C63" s="5"/>
      <c r="D63" s="5">
        <f t="shared" si="1"/>
        <v>29</v>
      </c>
      <c r="I63" s="36"/>
      <c r="J63" s="37"/>
      <c r="K63" s="37"/>
      <c r="L63" s="37"/>
      <c r="M63" s="37"/>
      <c r="N63" s="37"/>
      <c r="O63" s="37"/>
      <c r="P63" s="37"/>
      <c r="Q63" s="37"/>
      <c r="R63" s="37"/>
      <c r="S63" s="36"/>
      <c r="T63" s="36"/>
      <c r="U63" s="36"/>
      <c r="V63" s="36"/>
      <c r="W63" s="36"/>
    </row>
    <row r="64" spans="1:23" x14ac:dyDescent="0.25">
      <c r="A64">
        <v>2950</v>
      </c>
      <c r="B64" s="5">
        <v>-89</v>
      </c>
      <c r="C64" s="5"/>
      <c r="D64" s="5">
        <f t="shared" si="1"/>
        <v>29.5</v>
      </c>
    </row>
    <row r="65" spans="1:23" x14ac:dyDescent="0.25">
      <c r="A65">
        <v>3000</v>
      </c>
      <c r="B65" s="5">
        <v>-90</v>
      </c>
      <c r="C65" s="5"/>
      <c r="D65" s="5">
        <f t="shared" si="1"/>
        <v>30</v>
      </c>
    </row>
    <row r="66" spans="1:23" x14ac:dyDescent="0.25">
      <c r="A66">
        <v>3050</v>
      </c>
      <c r="B66" s="5">
        <v>-91</v>
      </c>
      <c r="C66" s="5"/>
      <c r="D66" s="5">
        <f t="shared" si="1"/>
        <v>30.5</v>
      </c>
      <c r="I66" s="40"/>
      <c r="J66" s="26"/>
      <c r="K66" s="26"/>
      <c r="L66" s="26"/>
      <c r="M66" s="26"/>
      <c r="N66" s="26"/>
      <c r="O66" s="26"/>
      <c r="P66" s="26"/>
      <c r="Q66" s="26"/>
      <c r="R66" s="26"/>
      <c r="S66" s="40"/>
      <c r="T66" s="40"/>
      <c r="U66" s="40"/>
      <c r="V66" s="40"/>
      <c r="W66" s="40"/>
    </row>
    <row r="67" spans="1:23" ht="23.25" x14ac:dyDescent="0.25">
      <c r="A67">
        <v>3100</v>
      </c>
      <c r="B67" s="5">
        <v>-92</v>
      </c>
      <c r="C67" s="5"/>
      <c r="D67" s="5">
        <f t="shared" si="1"/>
        <v>31</v>
      </c>
      <c r="I67" s="40"/>
      <c r="J67" s="58" t="s">
        <v>80</v>
      </c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26"/>
      <c r="W67" s="26"/>
    </row>
    <row r="68" spans="1:23" x14ac:dyDescent="0.25">
      <c r="A68">
        <v>3150</v>
      </c>
      <c r="B68" s="5">
        <v>-93</v>
      </c>
      <c r="C68" s="5"/>
      <c r="D68" s="5">
        <f t="shared" si="1"/>
        <v>31.5</v>
      </c>
      <c r="I68" s="40"/>
      <c r="J68" s="41" t="s">
        <v>22</v>
      </c>
      <c r="K68" s="41" t="s">
        <v>21</v>
      </c>
      <c r="L68" s="41" t="s">
        <v>70</v>
      </c>
      <c r="M68" s="41" t="s">
        <v>71</v>
      </c>
      <c r="N68" s="41" t="s">
        <v>72</v>
      </c>
      <c r="O68" s="41" t="s">
        <v>73</v>
      </c>
      <c r="P68" s="41" t="s">
        <v>74</v>
      </c>
      <c r="Q68" s="41" t="s">
        <v>75</v>
      </c>
      <c r="R68" s="41" t="s">
        <v>76</v>
      </c>
      <c r="S68" s="41" t="s">
        <v>77</v>
      </c>
      <c r="T68" s="41" t="s">
        <v>67</v>
      </c>
      <c r="U68" s="41" t="s">
        <v>68</v>
      </c>
      <c r="V68" s="42"/>
      <c r="W68" s="42"/>
    </row>
    <row r="69" spans="1:23" x14ac:dyDescent="0.25">
      <c r="A69">
        <v>3200</v>
      </c>
      <c r="I69" s="40"/>
      <c r="J69" s="43" t="s">
        <v>67</v>
      </c>
      <c r="K69" s="43" t="s">
        <v>68</v>
      </c>
      <c r="L69" s="43">
        <v>1.75</v>
      </c>
      <c r="M69" s="43">
        <v>3.4</v>
      </c>
      <c r="N69" s="43">
        <v>6.6</v>
      </c>
      <c r="O69" s="43">
        <v>12.5</v>
      </c>
      <c r="P69" s="43">
        <v>2.0499999999999998</v>
      </c>
      <c r="Q69" s="43">
        <v>3.35</v>
      </c>
      <c r="R69" s="43">
        <v>7</v>
      </c>
      <c r="S69" s="43">
        <v>12.55</v>
      </c>
      <c r="T69" s="43">
        <v>2</v>
      </c>
      <c r="U69" s="43">
        <v>18</v>
      </c>
      <c r="V69" s="26"/>
      <c r="W69" s="26"/>
    </row>
    <row r="70" spans="1:23" x14ac:dyDescent="0.25">
      <c r="A70">
        <v>3250</v>
      </c>
      <c r="I70" s="40"/>
      <c r="J70" s="43" t="s">
        <v>70</v>
      </c>
      <c r="K70" s="43" t="s">
        <v>74</v>
      </c>
      <c r="L70" s="43">
        <v>1.87</v>
      </c>
      <c r="M70" s="43">
        <v>3.66</v>
      </c>
      <c r="N70" s="43">
        <v>6.96</v>
      </c>
      <c r="O70" s="43">
        <v>12.99</v>
      </c>
      <c r="P70" s="43">
        <v>2.17</v>
      </c>
      <c r="Q70" s="43">
        <v>3.61</v>
      </c>
      <c r="R70" s="43">
        <v>7.4</v>
      </c>
      <c r="S70" s="43">
        <v>12.97</v>
      </c>
      <c r="T70" s="44"/>
      <c r="U70" s="44"/>
      <c r="V70" s="40"/>
      <c r="W70" s="40"/>
    </row>
    <row r="71" spans="1:23" x14ac:dyDescent="0.25">
      <c r="A71">
        <v>3300</v>
      </c>
      <c r="I71" s="40"/>
      <c r="J71" s="43" t="s">
        <v>71</v>
      </c>
      <c r="K71" s="43" t="s">
        <v>75</v>
      </c>
      <c r="L71" s="43">
        <v>1.99</v>
      </c>
      <c r="M71" s="43">
        <v>3.92</v>
      </c>
      <c r="N71" s="43">
        <v>7.32</v>
      </c>
      <c r="O71" s="43">
        <v>13.48</v>
      </c>
      <c r="P71" s="43">
        <v>2.29</v>
      </c>
      <c r="Q71" s="43">
        <v>3.87</v>
      </c>
      <c r="R71" s="43">
        <v>7.8</v>
      </c>
      <c r="S71" s="43">
        <v>13.39</v>
      </c>
      <c r="T71" s="44"/>
      <c r="U71" s="44"/>
      <c r="V71" s="40"/>
      <c r="W71" s="40"/>
    </row>
    <row r="72" spans="1:23" x14ac:dyDescent="0.25">
      <c r="A72">
        <v>3350</v>
      </c>
      <c r="I72" s="40"/>
      <c r="J72" s="43" t="s">
        <v>72</v>
      </c>
      <c r="K72" s="43" t="s">
        <v>76</v>
      </c>
      <c r="L72" s="43">
        <v>2.11</v>
      </c>
      <c r="M72" s="43">
        <v>4.18</v>
      </c>
      <c r="N72" s="43">
        <v>7.68</v>
      </c>
      <c r="O72" s="43">
        <v>13.97</v>
      </c>
      <c r="P72" s="43">
        <v>2.41</v>
      </c>
      <c r="Q72" s="43">
        <v>4.13</v>
      </c>
      <c r="R72" s="43">
        <v>8.1999999999999993</v>
      </c>
      <c r="S72" s="43">
        <v>13.81</v>
      </c>
      <c r="T72" s="44"/>
      <c r="U72" s="44"/>
      <c r="V72" s="40"/>
      <c r="W72" s="40"/>
    </row>
    <row r="73" spans="1:23" x14ac:dyDescent="0.25">
      <c r="A73">
        <v>3400</v>
      </c>
      <c r="I73" s="40"/>
      <c r="J73" s="43" t="s">
        <v>73</v>
      </c>
      <c r="K73" s="43" t="s">
        <v>77</v>
      </c>
      <c r="L73" s="43">
        <v>2.23</v>
      </c>
      <c r="M73" s="43">
        <v>4.4400000000000004</v>
      </c>
      <c r="N73" s="43">
        <v>8.0399999999999991</v>
      </c>
      <c r="O73" s="43">
        <v>14.46</v>
      </c>
      <c r="P73" s="43">
        <v>2.5299999999999998</v>
      </c>
      <c r="Q73" s="43">
        <v>4.3899999999999997</v>
      </c>
      <c r="R73" s="43">
        <v>8.6</v>
      </c>
      <c r="S73" s="43">
        <v>14.23</v>
      </c>
      <c r="T73" s="44"/>
      <c r="U73" s="44"/>
      <c r="V73" s="40"/>
      <c r="W73" s="40"/>
    </row>
    <row r="74" spans="1:23" x14ac:dyDescent="0.25">
      <c r="A74">
        <v>3450</v>
      </c>
      <c r="I74" s="40"/>
      <c r="J74" s="43"/>
      <c r="K74" s="43"/>
      <c r="L74" s="43">
        <v>2.35</v>
      </c>
      <c r="M74" s="43">
        <v>4.7</v>
      </c>
      <c r="N74" s="43">
        <v>8.4</v>
      </c>
      <c r="O74" s="43">
        <v>14.95</v>
      </c>
      <c r="P74" s="43">
        <v>2.65</v>
      </c>
      <c r="Q74" s="43">
        <v>4.6500000000000004</v>
      </c>
      <c r="R74" s="43">
        <v>9</v>
      </c>
      <c r="S74" s="43">
        <v>14.65</v>
      </c>
      <c r="T74" s="44"/>
      <c r="U74" s="44" t="s">
        <v>69</v>
      </c>
      <c r="V74" s="40"/>
      <c r="W74" s="40"/>
    </row>
    <row r="75" spans="1:23" x14ac:dyDescent="0.25">
      <c r="A75">
        <v>3500</v>
      </c>
      <c r="I75" s="40"/>
      <c r="J75" s="43"/>
      <c r="K75" s="43"/>
      <c r="L75" s="43">
        <v>2.4700000000000002</v>
      </c>
      <c r="M75" s="43">
        <v>4.96</v>
      </c>
      <c r="N75" s="43">
        <v>8.76</v>
      </c>
      <c r="O75" s="43">
        <v>15.44</v>
      </c>
      <c r="P75" s="43">
        <v>2.77</v>
      </c>
      <c r="Q75" s="43">
        <v>4.91</v>
      </c>
      <c r="R75" s="43">
        <v>9.4</v>
      </c>
      <c r="S75" s="43">
        <v>15.07</v>
      </c>
      <c r="T75" s="44"/>
      <c r="U75" s="44"/>
      <c r="V75" s="40"/>
      <c r="W75" s="40"/>
    </row>
    <row r="76" spans="1:23" x14ac:dyDescent="0.25">
      <c r="A76">
        <v>3550</v>
      </c>
      <c r="I76" s="40"/>
      <c r="J76" s="43"/>
      <c r="K76" s="43"/>
      <c r="L76" s="43">
        <v>2.59</v>
      </c>
      <c r="M76" s="43">
        <v>5.22</v>
      </c>
      <c r="N76" s="43">
        <v>9.1199999999999992</v>
      </c>
      <c r="O76" s="43">
        <v>15.93</v>
      </c>
      <c r="P76" s="43">
        <v>2.89</v>
      </c>
      <c r="Q76" s="43">
        <v>5.17</v>
      </c>
      <c r="R76" s="43">
        <v>9.8000000000000007</v>
      </c>
      <c r="S76" s="43">
        <v>15.49</v>
      </c>
      <c r="T76" s="44"/>
      <c r="U76" s="44"/>
      <c r="V76" s="40"/>
      <c r="W76" s="40"/>
    </row>
    <row r="77" spans="1:23" x14ac:dyDescent="0.25">
      <c r="A77">
        <v>3600</v>
      </c>
      <c r="I77" s="40"/>
      <c r="J77" s="43"/>
      <c r="K77" s="43"/>
      <c r="L77" s="43">
        <v>2.71</v>
      </c>
      <c r="M77" s="43">
        <v>5.48</v>
      </c>
      <c r="N77" s="43">
        <v>9.48</v>
      </c>
      <c r="O77" s="43">
        <v>16.420000000000002</v>
      </c>
      <c r="P77" s="43">
        <v>3.01</v>
      </c>
      <c r="Q77" s="43">
        <v>5.43</v>
      </c>
      <c r="R77" s="43">
        <v>10.199999999999999</v>
      </c>
      <c r="S77" s="43">
        <v>15.91</v>
      </c>
      <c r="T77" s="44"/>
      <c r="U77" s="44"/>
      <c r="V77" s="40"/>
      <c r="W77" s="40"/>
    </row>
    <row r="78" spans="1:23" x14ac:dyDescent="0.25">
      <c r="A78">
        <v>3650</v>
      </c>
      <c r="I78" s="40"/>
      <c r="J78" s="43"/>
      <c r="K78" s="43"/>
      <c r="L78" s="43">
        <v>2.83</v>
      </c>
      <c r="M78" s="43">
        <v>5.74</v>
      </c>
      <c r="N78" s="43">
        <v>9.84</v>
      </c>
      <c r="O78" s="43">
        <v>16.91</v>
      </c>
      <c r="P78" s="43">
        <v>3.13</v>
      </c>
      <c r="Q78" s="43">
        <v>5.69</v>
      </c>
      <c r="R78" s="43">
        <v>10.6</v>
      </c>
      <c r="S78" s="43">
        <v>16.329999999999998</v>
      </c>
      <c r="T78" s="44"/>
      <c r="U78" s="44"/>
      <c r="V78" s="40"/>
      <c r="W78" s="40"/>
    </row>
    <row r="79" spans="1:23" x14ac:dyDescent="0.25">
      <c r="A79">
        <v>3700</v>
      </c>
      <c r="I79" s="40"/>
      <c r="J79" s="43"/>
      <c r="K79" s="43"/>
      <c r="L79" s="43">
        <v>2.95</v>
      </c>
      <c r="M79" s="43">
        <v>6</v>
      </c>
      <c r="N79" s="43">
        <v>10.199999999999999</v>
      </c>
      <c r="O79" s="43">
        <v>17.399999999999999</v>
      </c>
      <c r="P79" s="43">
        <v>3.25</v>
      </c>
      <c r="Q79" s="43">
        <v>5.95</v>
      </c>
      <c r="R79" s="43">
        <v>11</v>
      </c>
      <c r="S79" s="43">
        <v>16.75</v>
      </c>
      <c r="T79" s="44"/>
      <c r="U79" s="44"/>
      <c r="V79" s="40"/>
      <c r="W79" s="40"/>
    </row>
    <row r="80" spans="1:23" x14ac:dyDescent="0.25">
      <c r="A80">
        <v>3750</v>
      </c>
      <c r="I80" s="40"/>
      <c r="J80" s="43"/>
      <c r="K80" s="43"/>
      <c r="L80" s="43">
        <v>3.07</v>
      </c>
      <c r="M80" s="43">
        <v>6.26</v>
      </c>
      <c r="N80" s="43">
        <v>10.56</v>
      </c>
      <c r="O80" s="43">
        <v>17.89</v>
      </c>
      <c r="P80" s="43">
        <v>3.37</v>
      </c>
      <c r="Q80" s="43">
        <v>6.21</v>
      </c>
      <c r="R80" s="43">
        <v>11.4</v>
      </c>
      <c r="S80" s="43">
        <v>17.170000000000002</v>
      </c>
      <c r="T80" s="44"/>
      <c r="U80" s="44"/>
      <c r="V80" s="40"/>
      <c r="W80" s="40"/>
    </row>
    <row r="81" spans="1:23" x14ac:dyDescent="0.25">
      <c r="A81">
        <v>3800</v>
      </c>
      <c r="I81" s="40"/>
      <c r="J81" s="43"/>
      <c r="K81" s="43"/>
      <c r="L81" s="43">
        <v>3.19</v>
      </c>
      <c r="M81" s="43">
        <v>6.52</v>
      </c>
      <c r="N81" s="43">
        <v>10.92</v>
      </c>
      <c r="O81" s="43">
        <v>18.38</v>
      </c>
      <c r="P81" s="43">
        <v>3.49</v>
      </c>
      <c r="Q81" s="43">
        <v>6.47</v>
      </c>
      <c r="R81" s="43">
        <v>11.8</v>
      </c>
      <c r="S81" s="43">
        <v>17.59</v>
      </c>
      <c r="T81" s="44"/>
      <c r="U81" s="44"/>
      <c r="V81" s="40"/>
      <c r="W81" s="40"/>
    </row>
    <row r="82" spans="1:23" x14ac:dyDescent="0.25">
      <c r="A82">
        <v>3850</v>
      </c>
      <c r="I82" s="40"/>
      <c r="J82" s="43"/>
      <c r="K82" s="43"/>
      <c r="L82" s="43">
        <v>3.31</v>
      </c>
      <c r="M82" s="43">
        <v>6.78</v>
      </c>
      <c r="N82" s="43">
        <v>11.28</v>
      </c>
      <c r="O82" s="43">
        <v>18.87</v>
      </c>
      <c r="P82" s="43">
        <v>3.61</v>
      </c>
      <c r="Q82" s="43">
        <v>6.73</v>
      </c>
      <c r="R82" s="43">
        <v>12.2</v>
      </c>
      <c r="S82" s="43">
        <v>18.010000000000002</v>
      </c>
      <c r="T82" s="44"/>
      <c r="U82" s="44"/>
      <c r="V82" s="40"/>
      <c r="W82" s="40"/>
    </row>
    <row r="83" spans="1:23" x14ac:dyDescent="0.25">
      <c r="A83">
        <v>3900</v>
      </c>
      <c r="I83" s="40"/>
      <c r="J83" s="43"/>
      <c r="K83" s="43"/>
      <c r="L83" s="43">
        <v>3.43</v>
      </c>
      <c r="M83" s="43">
        <v>7.04</v>
      </c>
      <c r="N83" s="43">
        <v>11.64</v>
      </c>
      <c r="O83" s="43">
        <v>19.36</v>
      </c>
      <c r="P83" s="43">
        <v>3.73</v>
      </c>
      <c r="Q83" s="43">
        <v>6.99</v>
      </c>
      <c r="R83" s="43">
        <v>12.6</v>
      </c>
      <c r="S83" s="43">
        <v>18.43</v>
      </c>
      <c r="T83" s="44"/>
      <c r="U83" s="44"/>
      <c r="V83" s="40"/>
      <c r="W83" s="40"/>
    </row>
    <row r="84" spans="1:23" x14ac:dyDescent="0.25">
      <c r="A84">
        <v>3950</v>
      </c>
      <c r="I84" s="40"/>
      <c r="J84" s="43"/>
      <c r="K84" s="43"/>
      <c r="L84" s="43">
        <v>3.55</v>
      </c>
      <c r="M84" s="43">
        <v>7.3</v>
      </c>
      <c r="N84" s="43">
        <v>12</v>
      </c>
      <c r="O84" s="43">
        <v>19.850000000000001</v>
      </c>
      <c r="P84" s="43">
        <v>3.85</v>
      </c>
      <c r="Q84" s="43">
        <v>7.25</v>
      </c>
      <c r="R84" s="43">
        <v>13</v>
      </c>
      <c r="S84" s="43">
        <v>18.850000000000001</v>
      </c>
      <c r="T84" s="44"/>
      <c r="U84" s="44"/>
      <c r="V84" s="40"/>
      <c r="W84" s="40"/>
    </row>
    <row r="85" spans="1:23" x14ac:dyDescent="0.25">
      <c r="A85">
        <v>4000</v>
      </c>
      <c r="I85" s="40"/>
      <c r="J85" s="26"/>
      <c r="K85" s="26"/>
      <c r="L85" s="26"/>
      <c r="M85" s="26"/>
      <c r="N85" s="26"/>
      <c r="O85" s="26"/>
      <c r="P85" s="26"/>
      <c r="Q85" s="26"/>
      <c r="R85" s="26"/>
      <c r="S85" s="40"/>
      <c r="T85" s="40"/>
      <c r="U85" s="40"/>
      <c r="V85" s="40"/>
      <c r="W85" s="40"/>
    </row>
    <row r="86" spans="1:23" x14ac:dyDescent="0.25">
      <c r="A86">
        <v>4050</v>
      </c>
      <c r="I86" s="40"/>
      <c r="J86" s="26"/>
      <c r="K86" s="26"/>
      <c r="L86" s="26"/>
      <c r="M86" s="26"/>
      <c r="N86" s="26"/>
      <c r="O86" s="26"/>
      <c r="P86" s="26"/>
      <c r="Q86" s="26"/>
      <c r="R86" s="26"/>
      <c r="S86" s="40"/>
      <c r="T86" s="40"/>
      <c r="U86" s="40"/>
      <c r="V86" s="40"/>
      <c r="W86" s="40"/>
    </row>
    <row r="87" spans="1:23" x14ac:dyDescent="0.25">
      <c r="A87">
        <v>4100</v>
      </c>
      <c r="I87" s="40"/>
      <c r="J87" s="26"/>
      <c r="K87" s="26"/>
      <c r="L87" s="26"/>
      <c r="M87" s="26"/>
      <c r="N87" s="26"/>
      <c r="O87" s="26"/>
      <c r="P87" s="26"/>
      <c r="Q87" s="26"/>
      <c r="R87" s="26"/>
      <c r="S87" s="40"/>
      <c r="T87" s="40"/>
      <c r="U87" s="40"/>
      <c r="V87" s="40"/>
      <c r="W87" s="40"/>
    </row>
    <row r="88" spans="1:23" x14ac:dyDescent="0.25">
      <c r="A88">
        <v>4150</v>
      </c>
      <c r="I88" s="40"/>
      <c r="J88" s="26"/>
      <c r="K88" s="26"/>
      <c r="L88" s="26"/>
      <c r="M88" s="26"/>
      <c r="N88" s="26"/>
      <c r="O88" s="26"/>
      <c r="P88" s="26"/>
      <c r="Q88" s="26"/>
      <c r="R88" s="26"/>
      <c r="S88" s="40"/>
      <c r="T88" s="40"/>
      <c r="U88" s="40"/>
      <c r="V88" s="40"/>
      <c r="W88" s="40"/>
    </row>
    <row r="89" spans="1:23" x14ac:dyDescent="0.25">
      <c r="A89">
        <v>4200</v>
      </c>
      <c r="I89" s="40"/>
      <c r="J89" s="26"/>
      <c r="K89" s="26"/>
      <c r="L89" s="26"/>
      <c r="M89" s="26"/>
      <c r="N89" s="26"/>
      <c r="O89" s="26"/>
      <c r="P89" s="26"/>
      <c r="Q89" s="26"/>
      <c r="R89" s="26"/>
      <c r="S89" s="40"/>
      <c r="T89" s="40"/>
      <c r="U89" s="40"/>
      <c r="V89" s="40"/>
      <c r="W89" s="40"/>
    </row>
    <row r="90" spans="1:23" x14ac:dyDescent="0.25">
      <c r="A90">
        <v>4250</v>
      </c>
      <c r="I90" s="40"/>
      <c r="J90" s="26"/>
      <c r="K90" s="26"/>
      <c r="L90" s="26"/>
      <c r="M90" s="26"/>
      <c r="N90" s="26"/>
      <c r="O90" s="26"/>
      <c r="P90" s="26"/>
      <c r="Q90" s="26"/>
      <c r="R90" s="26"/>
      <c r="S90" s="40"/>
      <c r="T90" s="40"/>
      <c r="U90" s="40"/>
      <c r="V90" s="40"/>
      <c r="W90" s="40"/>
    </row>
    <row r="91" spans="1:23" x14ac:dyDescent="0.25">
      <c r="A91">
        <v>4300</v>
      </c>
      <c r="I91" s="40"/>
      <c r="J91" s="26"/>
      <c r="K91" s="26"/>
      <c r="L91" s="26"/>
      <c r="M91" s="26"/>
      <c r="N91" s="26"/>
      <c r="O91" s="26"/>
      <c r="P91" s="26"/>
      <c r="Q91" s="26"/>
      <c r="R91" s="26"/>
      <c r="S91" s="40"/>
      <c r="T91" s="40"/>
      <c r="U91" s="40"/>
      <c r="V91" s="40"/>
      <c r="W91" s="40"/>
    </row>
    <row r="92" spans="1:23" x14ac:dyDescent="0.25">
      <c r="A92">
        <v>4350</v>
      </c>
      <c r="I92" s="40"/>
      <c r="J92" s="26"/>
      <c r="K92" s="26"/>
      <c r="L92" s="26"/>
      <c r="M92" s="26"/>
      <c r="N92" s="26"/>
      <c r="O92" s="26"/>
      <c r="P92" s="26"/>
      <c r="Q92" s="26"/>
      <c r="R92" s="26"/>
      <c r="S92" s="40"/>
      <c r="T92" s="40"/>
      <c r="U92" s="40"/>
      <c r="V92" s="40"/>
      <c r="W92" s="40"/>
    </row>
    <row r="93" spans="1:23" x14ac:dyDescent="0.25">
      <c r="A93">
        <v>4400</v>
      </c>
      <c r="I93" s="40"/>
      <c r="J93" s="26"/>
      <c r="K93" s="26"/>
      <c r="L93" s="26"/>
      <c r="M93" s="26"/>
      <c r="N93" s="26"/>
      <c r="O93" s="26"/>
      <c r="P93" s="26"/>
      <c r="Q93" s="26"/>
      <c r="R93" s="26"/>
      <c r="S93" s="40"/>
      <c r="T93" s="40"/>
      <c r="U93" s="40"/>
      <c r="V93" s="40"/>
      <c r="W93" s="40"/>
    </row>
    <row r="94" spans="1:23" x14ac:dyDescent="0.25">
      <c r="A94">
        <v>4450</v>
      </c>
      <c r="I94" s="40"/>
      <c r="J94" s="26"/>
      <c r="K94" s="26"/>
      <c r="L94" s="26"/>
      <c r="M94" s="26"/>
      <c r="N94" s="26"/>
      <c r="O94" s="26"/>
      <c r="P94" s="26"/>
      <c r="Q94" s="26"/>
      <c r="R94" s="26"/>
      <c r="S94" s="40"/>
      <c r="T94" s="40"/>
      <c r="U94" s="40"/>
      <c r="V94" s="40"/>
      <c r="W94" s="40"/>
    </row>
    <row r="95" spans="1:23" x14ac:dyDescent="0.25">
      <c r="A95">
        <v>4500</v>
      </c>
      <c r="I95" s="40"/>
      <c r="J95" s="26"/>
      <c r="K95" s="26"/>
      <c r="L95" s="26"/>
      <c r="M95" s="26"/>
      <c r="N95" s="26"/>
      <c r="O95" s="26"/>
      <c r="P95" s="26"/>
      <c r="Q95" s="26"/>
      <c r="R95" s="26"/>
      <c r="S95" s="40"/>
      <c r="T95" s="40"/>
      <c r="U95" s="40"/>
      <c r="V95" s="40"/>
      <c r="W95" s="40"/>
    </row>
    <row r="96" spans="1:23" x14ac:dyDescent="0.25">
      <c r="A96">
        <v>4550</v>
      </c>
      <c r="I96" s="40"/>
      <c r="J96" s="26"/>
      <c r="K96" s="26"/>
      <c r="L96" s="26"/>
      <c r="M96" s="26"/>
      <c r="N96" s="26"/>
      <c r="O96" s="26"/>
      <c r="P96" s="26"/>
      <c r="Q96" s="26"/>
      <c r="R96" s="26"/>
      <c r="S96" s="40"/>
      <c r="T96" s="40"/>
      <c r="U96" s="40"/>
      <c r="V96" s="40"/>
      <c r="W96" s="40"/>
    </row>
    <row r="97" spans="1:23" x14ac:dyDescent="0.25">
      <c r="A97">
        <v>4600</v>
      </c>
      <c r="I97" s="40"/>
      <c r="J97" s="26"/>
      <c r="K97" s="26"/>
      <c r="L97" s="26"/>
      <c r="M97" s="26"/>
      <c r="N97" s="26"/>
      <c r="O97" s="26"/>
      <c r="P97" s="26"/>
      <c r="Q97" s="26"/>
      <c r="R97" s="26"/>
      <c r="S97" s="40"/>
      <c r="T97" s="40"/>
      <c r="U97" s="40"/>
      <c r="V97" s="40"/>
      <c r="W97" s="40"/>
    </row>
    <row r="98" spans="1:23" x14ac:dyDescent="0.25">
      <c r="A98">
        <v>4650</v>
      </c>
      <c r="I98" s="40"/>
      <c r="J98" s="26"/>
      <c r="K98" s="26"/>
      <c r="L98" s="26"/>
      <c r="M98" s="26"/>
      <c r="N98" s="26"/>
      <c r="O98" s="26"/>
      <c r="P98" s="26"/>
      <c r="Q98" s="26"/>
      <c r="R98" s="26"/>
      <c r="S98" s="40"/>
      <c r="T98" s="40"/>
      <c r="U98" s="40"/>
      <c r="V98" s="40"/>
      <c r="W98" s="40"/>
    </row>
    <row r="99" spans="1:23" x14ac:dyDescent="0.25">
      <c r="A99">
        <v>4700</v>
      </c>
      <c r="I99" s="40"/>
      <c r="J99" s="26"/>
      <c r="K99" s="26"/>
      <c r="L99" s="26"/>
      <c r="M99" s="26"/>
      <c r="N99" s="26"/>
      <c r="O99" s="26"/>
      <c r="P99" s="26"/>
      <c r="Q99" s="26"/>
      <c r="R99" s="26"/>
      <c r="S99" s="40"/>
      <c r="T99" s="40"/>
      <c r="U99" s="40"/>
      <c r="V99" s="40"/>
      <c r="W99" s="40"/>
    </row>
    <row r="100" spans="1:23" x14ac:dyDescent="0.25">
      <c r="A100">
        <v>4750</v>
      </c>
      <c r="I100" s="40"/>
      <c r="J100" s="26"/>
      <c r="K100" s="26"/>
      <c r="L100" s="26"/>
      <c r="M100" s="26"/>
      <c r="N100" s="26"/>
      <c r="O100" s="26"/>
      <c r="P100" s="26"/>
      <c r="Q100" s="26"/>
      <c r="R100" s="26"/>
      <c r="S100" s="40"/>
      <c r="T100" s="40"/>
      <c r="U100" s="40"/>
      <c r="V100" s="40"/>
      <c r="W100" s="40"/>
    </row>
    <row r="101" spans="1:23" x14ac:dyDescent="0.25">
      <c r="A101">
        <v>4800</v>
      </c>
      <c r="I101" s="40"/>
      <c r="J101" s="26"/>
      <c r="K101" s="26"/>
      <c r="L101" s="26"/>
      <c r="M101" s="26"/>
      <c r="N101" s="26"/>
      <c r="O101" s="26"/>
      <c r="P101" s="26"/>
      <c r="Q101" s="26"/>
      <c r="R101" s="26"/>
      <c r="S101" s="40"/>
      <c r="T101" s="40"/>
      <c r="U101" s="40"/>
      <c r="V101" s="40"/>
      <c r="W101" s="40"/>
    </row>
    <row r="102" spans="1:23" x14ac:dyDescent="0.25">
      <c r="A102">
        <v>4850</v>
      </c>
      <c r="I102" s="40"/>
      <c r="J102" s="26"/>
      <c r="K102" s="26"/>
      <c r="L102" s="26"/>
      <c r="M102" s="26"/>
      <c r="N102" s="26"/>
      <c r="O102" s="26"/>
      <c r="P102" s="26"/>
      <c r="Q102" s="26"/>
      <c r="R102" s="26"/>
      <c r="S102" s="40"/>
      <c r="T102" s="40"/>
      <c r="U102" s="40"/>
      <c r="V102" s="40"/>
      <c r="W102" s="40"/>
    </row>
    <row r="103" spans="1:23" x14ac:dyDescent="0.25">
      <c r="A103">
        <v>4900</v>
      </c>
      <c r="I103" s="40"/>
      <c r="J103" s="26"/>
      <c r="K103" s="26"/>
      <c r="L103" s="26"/>
      <c r="M103" s="26"/>
      <c r="N103" s="26"/>
      <c r="O103" s="26"/>
      <c r="P103" s="26"/>
      <c r="Q103" s="26"/>
      <c r="R103" s="26"/>
      <c r="S103" s="40"/>
      <c r="T103" s="40"/>
      <c r="U103" s="40"/>
      <c r="V103" s="40"/>
      <c r="W103" s="40"/>
    </row>
    <row r="104" spans="1:23" x14ac:dyDescent="0.25">
      <c r="A104">
        <v>4950</v>
      </c>
      <c r="I104" s="40"/>
      <c r="J104" s="26"/>
      <c r="K104" s="26"/>
      <c r="L104" s="26"/>
      <c r="M104" s="26"/>
      <c r="N104" s="26"/>
      <c r="O104" s="26"/>
      <c r="P104" s="26"/>
      <c r="Q104" s="26"/>
      <c r="R104" s="26"/>
      <c r="S104" s="40"/>
      <c r="T104" s="40"/>
      <c r="U104" s="40"/>
      <c r="V104" s="40"/>
      <c r="W104" s="40"/>
    </row>
    <row r="105" spans="1:23" x14ac:dyDescent="0.25">
      <c r="A105">
        <v>5000</v>
      </c>
      <c r="I105" s="40"/>
      <c r="J105" s="26"/>
      <c r="K105" s="26"/>
      <c r="L105" s="26"/>
      <c r="M105" s="26"/>
      <c r="N105" s="26"/>
      <c r="O105" s="26"/>
      <c r="P105" s="26"/>
      <c r="Q105" s="26"/>
      <c r="R105" s="26"/>
      <c r="S105" s="40"/>
      <c r="T105" s="40"/>
      <c r="U105" s="40"/>
      <c r="V105" s="40"/>
      <c r="W105" s="40"/>
    </row>
    <row r="106" spans="1:23" x14ac:dyDescent="0.25">
      <c r="A106">
        <v>5050</v>
      </c>
      <c r="I106" s="40"/>
      <c r="J106" s="26"/>
      <c r="K106" s="26"/>
      <c r="L106" s="26"/>
      <c r="M106" s="26"/>
      <c r="N106" s="26"/>
      <c r="O106" s="26"/>
      <c r="P106" s="26"/>
      <c r="Q106" s="26"/>
      <c r="R106" s="26"/>
      <c r="S106" s="40"/>
      <c r="T106" s="40"/>
      <c r="U106" s="40"/>
      <c r="V106" s="40"/>
      <c r="W106" s="40"/>
    </row>
    <row r="107" spans="1:23" x14ac:dyDescent="0.25">
      <c r="A107">
        <v>5100</v>
      </c>
      <c r="I107" s="40"/>
      <c r="J107" s="26"/>
      <c r="K107" s="26"/>
      <c r="L107" s="26"/>
      <c r="M107" s="26"/>
      <c r="N107" s="26"/>
      <c r="O107" s="26"/>
      <c r="P107" s="26"/>
      <c r="Q107" s="26"/>
      <c r="R107" s="26"/>
      <c r="S107" s="40"/>
      <c r="T107" s="40"/>
      <c r="U107" s="40"/>
      <c r="V107" s="40"/>
      <c r="W107" s="40"/>
    </row>
    <row r="108" spans="1:23" x14ac:dyDescent="0.25">
      <c r="A108">
        <v>5150</v>
      </c>
      <c r="I108" s="40"/>
      <c r="J108" s="26"/>
      <c r="K108" s="26"/>
      <c r="L108" s="26"/>
      <c r="M108" s="26"/>
      <c r="N108" s="26"/>
      <c r="O108" s="26"/>
      <c r="P108" s="26"/>
      <c r="Q108" s="26"/>
      <c r="R108" s="26"/>
      <c r="S108" s="40"/>
      <c r="T108" s="40"/>
      <c r="U108" s="40"/>
      <c r="V108" s="40"/>
      <c r="W108" s="40"/>
    </row>
    <row r="109" spans="1:23" x14ac:dyDescent="0.25">
      <c r="A109">
        <v>5200</v>
      </c>
      <c r="I109" s="40"/>
      <c r="J109" s="26"/>
      <c r="K109" s="26"/>
      <c r="L109" s="26"/>
      <c r="M109" s="26"/>
      <c r="N109" s="26"/>
      <c r="O109" s="26"/>
      <c r="P109" s="26"/>
      <c r="Q109" s="26"/>
      <c r="R109" s="26"/>
      <c r="S109" s="40"/>
      <c r="T109" s="40"/>
      <c r="U109" s="40"/>
      <c r="V109" s="40"/>
      <c r="W109" s="40"/>
    </row>
    <row r="110" spans="1:23" x14ac:dyDescent="0.25">
      <c r="A110">
        <v>5250</v>
      </c>
      <c r="I110" s="40"/>
      <c r="J110" s="26"/>
      <c r="K110" s="26"/>
      <c r="L110" s="26"/>
      <c r="M110" s="26"/>
      <c r="N110" s="26"/>
      <c r="O110" s="26"/>
      <c r="P110" s="26"/>
      <c r="Q110" s="26"/>
      <c r="R110" s="26"/>
      <c r="S110" s="40"/>
      <c r="T110" s="40"/>
      <c r="U110" s="40"/>
      <c r="V110" s="40"/>
      <c r="W110" s="40"/>
    </row>
    <row r="111" spans="1:23" x14ac:dyDescent="0.25">
      <c r="A111">
        <v>5300</v>
      </c>
      <c r="I111" s="40"/>
      <c r="J111" s="26"/>
      <c r="K111" s="26"/>
      <c r="L111" s="26"/>
      <c r="M111" s="26"/>
      <c r="N111" s="26"/>
      <c r="O111" s="26"/>
      <c r="P111" s="26"/>
      <c r="Q111" s="26"/>
      <c r="R111" s="26"/>
      <c r="S111" s="40"/>
      <c r="T111" s="40"/>
      <c r="U111" s="40"/>
      <c r="V111" s="40"/>
      <c r="W111" s="40"/>
    </row>
    <row r="112" spans="1:23" x14ac:dyDescent="0.25">
      <c r="A112">
        <v>5350</v>
      </c>
      <c r="I112" s="40"/>
      <c r="J112" s="26"/>
      <c r="K112" s="26"/>
      <c r="L112" s="26"/>
      <c r="M112" s="26"/>
      <c r="N112" s="26"/>
      <c r="O112" s="26"/>
      <c r="P112" s="26"/>
      <c r="Q112" s="26"/>
      <c r="R112" s="26"/>
      <c r="S112" s="40"/>
      <c r="T112" s="40"/>
      <c r="U112" s="40"/>
      <c r="V112" s="40"/>
      <c r="W112" s="40"/>
    </row>
    <row r="113" spans="1:23" x14ac:dyDescent="0.25">
      <c r="A113">
        <v>5400</v>
      </c>
      <c r="I113" s="40"/>
      <c r="J113" s="26"/>
      <c r="K113" s="26"/>
      <c r="L113" s="26"/>
      <c r="M113" s="26"/>
      <c r="N113" s="26"/>
      <c r="O113" s="26"/>
      <c r="P113" s="26"/>
      <c r="Q113" s="26"/>
      <c r="R113" s="26"/>
      <c r="S113" s="40"/>
      <c r="T113" s="40"/>
      <c r="U113" s="40"/>
      <c r="V113" s="40"/>
      <c r="W113" s="40"/>
    </row>
    <row r="114" spans="1:23" x14ac:dyDescent="0.25">
      <c r="A114">
        <v>5450</v>
      </c>
      <c r="I114" s="40"/>
      <c r="J114" s="26"/>
      <c r="K114" s="26"/>
      <c r="L114" s="26"/>
      <c r="M114" s="26"/>
      <c r="N114" s="26"/>
      <c r="O114" s="26"/>
      <c r="P114" s="26"/>
      <c r="Q114" s="26"/>
      <c r="R114" s="26"/>
      <c r="S114" s="40"/>
      <c r="T114" s="40"/>
      <c r="U114" s="40"/>
      <c r="V114" s="40"/>
      <c r="W114" s="40"/>
    </row>
    <row r="115" spans="1:23" x14ac:dyDescent="0.25">
      <c r="A115">
        <v>5500</v>
      </c>
      <c r="I115" s="40"/>
      <c r="J115" s="26"/>
      <c r="K115" s="26"/>
      <c r="L115" s="26"/>
      <c r="M115" s="26"/>
      <c r="N115" s="26"/>
      <c r="O115" s="26"/>
      <c r="P115" s="26"/>
      <c r="Q115" s="26"/>
      <c r="R115" s="26"/>
      <c r="S115" s="40"/>
      <c r="T115" s="40"/>
      <c r="U115" s="40"/>
      <c r="V115" s="40"/>
      <c r="W115" s="40"/>
    </row>
    <row r="116" spans="1:23" x14ac:dyDescent="0.25">
      <c r="A116">
        <v>5550</v>
      </c>
      <c r="I116" s="40"/>
      <c r="J116" s="26"/>
      <c r="K116" s="26"/>
      <c r="L116" s="26"/>
      <c r="M116" s="26"/>
      <c r="N116" s="26"/>
      <c r="O116" s="26"/>
      <c r="P116" s="26"/>
      <c r="Q116" s="26"/>
      <c r="R116" s="26"/>
      <c r="S116" s="40"/>
      <c r="T116" s="40"/>
      <c r="U116" s="40"/>
      <c r="V116" s="40"/>
      <c r="W116" s="40"/>
    </row>
    <row r="117" spans="1:23" x14ac:dyDescent="0.25">
      <c r="A117">
        <v>5600</v>
      </c>
      <c r="I117" s="40"/>
      <c r="J117" s="26"/>
      <c r="K117" s="26"/>
      <c r="L117" s="26"/>
      <c r="M117" s="26"/>
      <c r="N117" s="26"/>
      <c r="O117" s="26"/>
      <c r="P117" s="26"/>
      <c r="Q117" s="26"/>
      <c r="R117" s="26"/>
      <c r="S117" s="40"/>
      <c r="T117" s="40"/>
      <c r="U117" s="40"/>
      <c r="V117" s="40"/>
      <c r="W117" s="40"/>
    </row>
    <row r="118" spans="1:23" x14ac:dyDescent="0.25">
      <c r="A118">
        <v>5650</v>
      </c>
      <c r="I118" s="40"/>
      <c r="J118" s="26"/>
      <c r="K118" s="26"/>
      <c r="L118" s="26"/>
      <c r="M118" s="26"/>
      <c r="N118" s="26"/>
      <c r="O118" s="26"/>
      <c r="P118" s="26"/>
      <c r="Q118" s="26"/>
      <c r="R118" s="26"/>
      <c r="S118" s="40"/>
      <c r="T118" s="40"/>
      <c r="U118" s="40"/>
      <c r="V118" s="40"/>
      <c r="W118" s="40"/>
    </row>
    <row r="119" spans="1:23" x14ac:dyDescent="0.25">
      <c r="A119">
        <v>5700</v>
      </c>
      <c r="I119" s="40"/>
      <c r="J119" s="26"/>
      <c r="K119" s="26"/>
      <c r="L119" s="26"/>
      <c r="M119" s="26"/>
      <c r="N119" s="26"/>
      <c r="O119" s="26"/>
      <c r="P119" s="26"/>
      <c r="Q119" s="26"/>
      <c r="R119" s="26"/>
      <c r="S119" s="40"/>
      <c r="T119" s="40"/>
      <c r="U119" s="40"/>
      <c r="V119" s="40"/>
      <c r="W119" s="40"/>
    </row>
    <row r="120" spans="1:23" x14ac:dyDescent="0.25">
      <c r="A120">
        <v>5750</v>
      </c>
    </row>
    <row r="121" spans="1:23" x14ac:dyDescent="0.25">
      <c r="A121">
        <v>5800</v>
      </c>
    </row>
    <row r="122" spans="1:23" x14ac:dyDescent="0.25">
      <c r="A122">
        <v>5850</v>
      </c>
    </row>
    <row r="123" spans="1:23" x14ac:dyDescent="0.25">
      <c r="A123">
        <v>5900</v>
      </c>
    </row>
    <row r="124" spans="1:23" x14ac:dyDescent="0.25">
      <c r="A124">
        <v>5950</v>
      </c>
    </row>
    <row r="125" spans="1:23" x14ac:dyDescent="0.25">
      <c r="A125">
        <v>6000</v>
      </c>
    </row>
    <row r="126" spans="1:23" x14ac:dyDescent="0.25">
      <c r="A126">
        <v>6050</v>
      </c>
    </row>
    <row r="127" spans="1:23" x14ac:dyDescent="0.25">
      <c r="A127">
        <v>6100</v>
      </c>
    </row>
    <row r="128" spans="1:23" x14ac:dyDescent="0.25">
      <c r="A128">
        <v>6150</v>
      </c>
    </row>
    <row r="129" spans="1:1" x14ac:dyDescent="0.25">
      <c r="A129">
        <v>6200</v>
      </c>
    </row>
    <row r="130" spans="1:1" x14ac:dyDescent="0.25">
      <c r="A130">
        <v>6250</v>
      </c>
    </row>
    <row r="131" spans="1:1" x14ac:dyDescent="0.25">
      <c r="A131">
        <v>6300</v>
      </c>
    </row>
    <row r="132" spans="1:1" x14ac:dyDescent="0.25">
      <c r="A132">
        <v>6350</v>
      </c>
    </row>
    <row r="133" spans="1:1" x14ac:dyDescent="0.25">
      <c r="A133">
        <v>6400</v>
      </c>
    </row>
    <row r="134" spans="1:1" x14ac:dyDescent="0.25">
      <c r="A134">
        <v>6450</v>
      </c>
    </row>
    <row r="135" spans="1:1" x14ac:dyDescent="0.25">
      <c r="A135">
        <v>6500</v>
      </c>
    </row>
    <row r="136" spans="1:1" x14ac:dyDescent="0.25">
      <c r="A136">
        <v>6550</v>
      </c>
    </row>
    <row r="137" spans="1:1" x14ac:dyDescent="0.25">
      <c r="A137">
        <v>6600</v>
      </c>
    </row>
    <row r="138" spans="1:1" x14ac:dyDescent="0.25">
      <c r="A138">
        <v>6650</v>
      </c>
    </row>
    <row r="139" spans="1:1" x14ac:dyDescent="0.25">
      <c r="A139">
        <v>6700</v>
      </c>
    </row>
    <row r="140" spans="1:1" x14ac:dyDescent="0.25">
      <c r="A140">
        <v>6750</v>
      </c>
    </row>
    <row r="141" spans="1:1" x14ac:dyDescent="0.25">
      <c r="A141">
        <v>6800</v>
      </c>
    </row>
    <row r="142" spans="1:1" x14ac:dyDescent="0.25">
      <c r="A142">
        <v>6850</v>
      </c>
    </row>
    <row r="143" spans="1:1" x14ac:dyDescent="0.25">
      <c r="A143">
        <v>6900</v>
      </c>
    </row>
    <row r="144" spans="1:1" x14ac:dyDescent="0.25">
      <c r="A144">
        <v>6950</v>
      </c>
    </row>
    <row r="145" spans="1:1" x14ac:dyDescent="0.25">
      <c r="A145">
        <v>7000</v>
      </c>
    </row>
    <row r="146" spans="1:1" x14ac:dyDescent="0.25">
      <c r="A146">
        <v>7050</v>
      </c>
    </row>
    <row r="147" spans="1:1" x14ac:dyDescent="0.25">
      <c r="A147">
        <v>7100</v>
      </c>
    </row>
    <row r="148" spans="1:1" x14ac:dyDescent="0.25">
      <c r="A148">
        <v>7150</v>
      </c>
    </row>
    <row r="149" spans="1:1" x14ac:dyDescent="0.25">
      <c r="A149">
        <v>7200</v>
      </c>
    </row>
    <row r="150" spans="1:1" x14ac:dyDescent="0.25">
      <c r="A150">
        <v>7250</v>
      </c>
    </row>
    <row r="151" spans="1:1" x14ac:dyDescent="0.25">
      <c r="A151">
        <v>7300</v>
      </c>
    </row>
    <row r="152" spans="1:1" x14ac:dyDescent="0.25">
      <c r="A152">
        <v>7350</v>
      </c>
    </row>
    <row r="153" spans="1:1" x14ac:dyDescent="0.25">
      <c r="A153">
        <v>7400</v>
      </c>
    </row>
    <row r="154" spans="1:1" x14ac:dyDescent="0.25">
      <c r="A154">
        <v>7450</v>
      </c>
    </row>
    <row r="155" spans="1:1" x14ac:dyDescent="0.25">
      <c r="A155">
        <v>7500</v>
      </c>
    </row>
    <row r="156" spans="1:1" x14ac:dyDescent="0.25">
      <c r="A156">
        <v>7550</v>
      </c>
    </row>
    <row r="157" spans="1:1" x14ac:dyDescent="0.25">
      <c r="A157">
        <v>7600</v>
      </c>
    </row>
    <row r="158" spans="1:1" x14ac:dyDescent="0.25">
      <c r="A158">
        <v>7650</v>
      </c>
    </row>
    <row r="159" spans="1:1" x14ac:dyDescent="0.25">
      <c r="A159">
        <v>7700</v>
      </c>
    </row>
    <row r="160" spans="1:1" x14ac:dyDescent="0.25">
      <c r="A160">
        <v>7750</v>
      </c>
    </row>
    <row r="161" spans="1:1" x14ac:dyDescent="0.25">
      <c r="A161">
        <v>7800</v>
      </c>
    </row>
    <row r="162" spans="1:1" x14ac:dyDescent="0.25">
      <c r="A162">
        <v>7850</v>
      </c>
    </row>
    <row r="163" spans="1:1" x14ac:dyDescent="0.25">
      <c r="A163">
        <v>7900</v>
      </c>
    </row>
    <row r="164" spans="1:1" x14ac:dyDescent="0.25">
      <c r="A164">
        <v>7950</v>
      </c>
    </row>
    <row r="165" spans="1:1" x14ac:dyDescent="0.25">
      <c r="A165">
        <v>8000</v>
      </c>
    </row>
    <row r="166" spans="1:1" x14ac:dyDescent="0.25">
      <c r="A166">
        <v>8050</v>
      </c>
    </row>
    <row r="167" spans="1:1" x14ac:dyDescent="0.25">
      <c r="A167">
        <v>8100</v>
      </c>
    </row>
    <row r="168" spans="1:1" x14ac:dyDescent="0.25">
      <c r="A168">
        <v>8150</v>
      </c>
    </row>
    <row r="169" spans="1:1" x14ac:dyDescent="0.25">
      <c r="A169">
        <v>8200</v>
      </c>
    </row>
    <row r="170" spans="1:1" x14ac:dyDescent="0.25">
      <c r="A170">
        <v>8250</v>
      </c>
    </row>
    <row r="171" spans="1:1" x14ac:dyDescent="0.25">
      <c r="A171">
        <v>8300</v>
      </c>
    </row>
    <row r="172" spans="1:1" x14ac:dyDescent="0.25">
      <c r="A172">
        <v>8350</v>
      </c>
    </row>
    <row r="173" spans="1:1" x14ac:dyDescent="0.25">
      <c r="A173">
        <v>8400</v>
      </c>
    </row>
    <row r="174" spans="1:1" x14ac:dyDescent="0.25">
      <c r="A174">
        <v>8450</v>
      </c>
    </row>
    <row r="175" spans="1:1" x14ac:dyDescent="0.25">
      <c r="A175">
        <v>8500</v>
      </c>
    </row>
    <row r="176" spans="1:1" x14ac:dyDescent="0.25">
      <c r="A176">
        <v>8550</v>
      </c>
    </row>
    <row r="177" spans="1:1" x14ac:dyDescent="0.25">
      <c r="A177">
        <v>8600</v>
      </c>
    </row>
    <row r="178" spans="1:1" x14ac:dyDescent="0.25">
      <c r="A178">
        <v>8650</v>
      </c>
    </row>
    <row r="179" spans="1:1" x14ac:dyDescent="0.25">
      <c r="A179">
        <v>8700</v>
      </c>
    </row>
    <row r="180" spans="1:1" x14ac:dyDescent="0.25">
      <c r="A180">
        <v>8750</v>
      </c>
    </row>
    <row r="181" spans="1:1" x14ac:dyDescent="0.25">
      <c r="A181">
        <v>8800</v>
      </c>
    </row>
    <row r="182" spans="1:1" x14ac:dyDescent="0.25">
      <c r="A182">
        <v>8850</v>
      </c>
    </row>
    <row r="183" spans="1:1" x14ac:dyDescent="0.25">
      <c r="A183">
        <v>8900</v>
      </c>
    </row>
    <row r="184" spans="1:1" x14ac:dyDescent="0.25">
      <c r="A184">
        <v>8950</v>
      </c>
    </row>
    <row r="185" spans="1:1" x14ac:dyDescent="0.25">
      <c r="A185">
        <v>9000</v>
      </c>
    </row>
    <row r="186" spans="1:1" x14ac:dyDescent="0.25">
      <c r="A186">
        <v>9050</v>
      </c>
    </row>
    <row r="187" spans="1:1" x14ac:dyDescent="0.25">
      <c r="A187">
        <v>9100</v>
      </c>
    </row>
    <row r="188" spans="1:1" x14ac:dyDescent="0.25">
      <c r="A188">
        <v>9150</v>
      </c>
    </row>
    <row r="189" spans="1:1" x14ac:dyDescent="0.25">
      <c r="A189">
        <v>9200</v>
      </c>
    </row>
    <row r="190" spans="1:1" x14ac:dyDescent="0.25">
      <c r="A190">
        <v>9250</v>
      </c>
    </row>
    <row r="191" spans="1:1" x14ac:dyDescent="0.25">
      <c r="A191">
        <v>9300</v>
      </c>
    </row>
    <row r="192" spans="1:1" x14ac:dyDescent="0.25">
      <c r="A192">
        <v>9350</v>
      </c>
    </row>
    <row r="193" spans="1:1" x14ac:dyDescent="0.25">
      <c r="A193">
        <v>9400</v>
      </c>
    </row>
    <row r="194" spans="1:1" x14ac:dyDescent="0.25">
      <c r="A194">
        <v>9450</v>
      </c>
    </row>
    <row r="195" spans="1:1" x14ac:dyDescent="0.25">
      <c r="A195">
        <v>9500</v>
      </c>
    </row>
    <row r="196" spans="1:1" x14ac:dyDescent="0.25">
      <c r="A196">
        <v>9550</v>
      </c>
    </row>
    <row r="197" spans="1:1" x14ac:dyDescent="0.25">
      <c r="A197">
        <v>9600</v>
      </c>
    </row>
    <row r="198" spans="1:1" x14ac:dyDescent="0.25">
      <c r="A198">
        <v>9650</v>
      </c>
    </row>
    <row r="199" spans="1:1" x14ac:dyDescent="0.25">
      <c r="A199">
        <v>9700</v>
      </c>
    </row>
    <row r="200" spans="1:1" x14ac:dyDescent="0.25">
      <c r="A200">
        <v>9750</v>
      </c>
    </row>
    <row r="201" spans="1:1" x14ac:dyDescent="0.25">
      <c r="A201">
        <v>9800</v>
      </c>
    </row>
    <row r="202" spans="1:1" x14ac:dyDescent="0.25">
      <c r="A202">
        <v>9850</v>
      </c>
    </row>
    <row r="203" spans="1:1" x14ac:dyDescent="0.25">
      <c r="A203">
        <v>9900</v>
      </c>
    </row>
    <row r="204" spans="1:1" x14ac:dyDescent="0.25">
      <c r="A204">
        <v>9950</v>
      </c>
    </row>
    <row r="205" spans="1:1" x14ac:dyDescent="0.25">
      <c r="A205">
        <v>10000</v>
      </c>
    </row>
    <row r="206" spans="1:1" x14ac:dyDescent="0.25">
      <c r="A206">
        <v>10050</v>
      </c>
    </row>
    <row r="207" spans="1:1" x14ac:dyDescent="0.25">
      <c r="A207">
        <v>10100</v>
      </c>
    </row>
    <row r="208" spans="1:1" x14ac:dyDescent="0.25">
      <c r="A208">
        <v>10150</v>
      </c>
    </row>
    <row r="209" spans="1:1" x14ac:dyDescent="0.25">
      <c r="A209">
        <v>10200</v>
      </c>
    </row>
    <row r="210" spans="1:1" x14ac:dyDescent="0.25">
      <c r="A210">
        <v>10250</v>
      </c>
    </row>
    <row r="211" spans="1:1" x14ac:dyDescent="0.25">
      <c r="A211">
        <v>10300</v>
      </c>
    </row>
    <row r="212" spans="1:1" x14ac:dyDescent="0.25">
      <c r="A212">
        <v>10350</v>
      </c>
    </row>
    <row r="213" spans="1:1" x14ac:dyDescent="0.25">
      <c r="A213">
        <v>10400</v>
      </c>
    </row>
    <row r="214" spans="1:1" x14ac:dyDescent="0.25">
      <c r="A214">
        <v>10450</v>
      </c>
    </row>
    <row r="215" spans="1:1" x14ac:dyDescent="0.25">
      <c r="A215">
        <v>10500</v>
      </c>
    </row>
    <row r="216" spans="1:1" x14ac:dyDescent="0.25">
      <c r="A216">
        <v>10550</v>
      </c>
    </row>
    <row r="217" spans="1:1" x14ac:dyDescent="0.25">
      <c r="A217">
        <v>10600</v>
      </c>
    </row>
    <row r="218" spans="1:1" x14ac:dyDescent="0.25">
      <c r="A218">
        <v>10650</v>
      </c>
    </row>
    <row r="219" spans="1:1" x14ac:dyDescent="0.25">
      <c r="A219">
        <v>10700</v>
      </c>
    </row>
    <row r="220" spans="1:1" x14ac:dyDescent="0.25">
      <c r="A220">
        <v>10750</v>
      </c>
    </row>
    <row r="221" spans="1:1" x14ac:dyDescent="0.25">
      <c r="A221">
        <v>10800</v>
      </c>
    </row>
    <row r="222" spans="1:1" x14ac:dyDescent="0.25">
      <c r="A222">
        <v>10850</v>
      </c>
    </row>
    <row r="223" spans="1:1" x14ac:dyDescent="0.25">
      <c r="A223">
        <v>10900</v>
      </c>
    </row>
    <row r="224" spans="1:1" x14ac:dyDescent="0.25">
      <c r="A224">
        <v>10950</v>
      </c>
    </row>
    <row r="225" spans="1:1" x14ac:dyDescent="0.25">
      <c r="A225">
        <v>11000</v>
      </c>
    </row>
    <row r="226" spans="1:1" x14ac:dyDescent="0.25">
      <c r="A226">
        <v>11050</v>
      </c>
    </row>
    <row r="227" spans="1:1" x14ac:dyDescent="0.25">
      <c r="A227">
        <v>11100</v>
      </c>
    </row>
    <row r="228" spans="1:1" x14ac:dyDescent="0.25">
      <c r="A228">
        <v>11150</v>
      </c>
    </row>
    <row r="229" spans="1:1" x14ac:dyDescent="0.25">
      <c r="A229">
        <v>11200</v>
      </c>
    </row>
    <row r="230" spans="1:1" x14ac:dyDescent="0.25">
      <c r="A230">
        <v>11250</v>
      </c>
    </row>
    <row r="231" spans="1:1" x14ac:dyDescent="0.25">
      <c r="A231">
        <v>11300</v>
      </c>
    </row>
    <row r="232" spans="1:1" x14ac:dyDescent="0.25">
      <c r="A232">
        <v>11350</v>
      </c>
    </row>
    <row r="233" spans="1:1" x14ac:dyDescent="0.25">
      <c r="A233">
        <v>11400</v>
      </c>
    </row>
    <row r="234" spans="1:1" x14ac:dyDescent="0.25">
      <c r="A234">
        <v>11450</v>
      </c>
    </row>
    <row r="235" spans="1:1" x14ac:dyDescent="0.25">
      <c r="A235">
        <v>11500</v>
      </c>
    </row>
    <row r="236" spans="1:1" x14ac:dyDescent="0.25">
      <c r="A236">
        <v>11550</v>
      </c>
    </row>
    <row r="237" spans="1:1" x14ac:dyDescent="0.25">
      <c r="A237">
        <v>11600</v>
      </c>
    </row>
    <row r="238" spans="1:1" x14ac:dyDescent="0.25">
      <c r="A238">
        <v>11650</v>
      </c>
    </row>
    <row r="239" spans="1:1" x14ac:dyDescent="0.25">
      <c r="A239">
        <v>11700</v>
      </c>
    </row>
    <row r="240" spans="1:1" x14ac:dyDescent="0.25">
      <c r="A240">
        <v>11750</v>
      </c>
    </row>
    <row r="241" spans="1:1" x14ac:dyDescent="0.25">
      <c r="A241">
        <v>11800</v>
      </c>
    </row>
    <row r="242" spans="1:1" x14ac:dyDescent="0.25">
      <c r="A242">
        <v>11850</v>
      </c>
    </row>
    <row r="243" spans="1:1" x14ac:dyDescent="0.25">
      <c r="A243">
        <v>11900</v>
      </c>
    </row>
    <row r="244" spans="1:1" x14ac:dyDescent="0.25">
      <c r="A244">
        <v>11950</v>
      </c>
    </row>
    <row r="245" spans="1:1" x14ac:dyDescent="0.25">
      <c r="A245">
        <v>12000</v>
      </c>
    </row>
    <row r="246" spans="1:1" x14ac:dyDescent="0.25">
      <c r="A246">
        <v>12050</v>
      </c>
    </row>
    <row r="247" spans="1:1" x14ac:dyDescent="0.25">
      <c r="A247">
        <v>12100</v>
      </c>
    </row>
    <row r="248" spans="1:1" x14ac:dyDescent="0.25">
      <c r="A248">
        <v>12150</v>
      </c>
    </row>
    <row r="249" spans="1:1" x14ac:dyDescent="0.25">
      <c r="A249">
        <v>12200</v>
      </c>
    </row>
    <row r="250" spans="1:1" x14ac:dyDescent="0.25">
      <c r="A250">
        <v>12250</v>
      </c>
    </row>
    <row r="251" spans="1:1" x14ac:dyDescent="0.25">
      <c r="A251">
        <v>12300</v>
      </c>
    </row>
    <row r="252" spans="1:1" x14ac:dyDescent="0.25">
      <c r="A252">
        <v>12350</v>
      </c>
    </row>
    <row r="253" spans="1:1" x14ac:dyDescent="0.25">
      <c r="A253">
        <v>12400</v>
      </c>
    </row>
    <row r="254" spans="1:1" x14ac:dyDescent="0.25">
      <c r="A254">
        <v>12450</v>
      </c>
    </row>
    <row r="255" spans="1:1" x14ac:dyDescent="0.25">
      <c r="A255">
        <v>12500</v>
      </c>
    </row>
    <row r="256" spans="1:1" x14ac:dyDescent="0.25">
      <c r="A256">
        <v>12550</v>
      </c>
    </row>
    <row r="257" spans="1:1" x14ac:dyDescent="0.25">
      <c r="A257">
        <v>12600</v>
      </c>
    </row>
    <row r="258" spans="1:1" x14ac:dyDescent="0.25">
      <c r="A258">
        <v>12650</v>
      </c>
    </row>
    <row r="259" spans="1:1" x14ac:dyDescent="0.25">
      <c r="A259">
        <v>12700</v>
      </c>
    </row>
    <row r="260" spans="1:1" x14ac:dyDescent="0.25">
      <c r="A260">
        <v>12750</v>
      </c>
    </row>
    <row r="261" spans="1:1" x14ac:dyDescent="0.25">
      <c r="A261">
        <v>12800</v>
      </c>
    </row>
    <row r="262" spans="1:1" x14ac:dyDescent="0.25">
      <c r="A262">
        <v>12850</v>
      </c>
    </row>
    <row r="263" spans="1:1" x14ac:dyDescent="0.25">
      <c r="A263">
        <v>12900</v>
      </c>
    </row>
    <row r="264" spans="1:1" x14ac:dyDescent="0.25">
      <c r="A264">
        <v>12950</v>
      </c>
    </row>
    <row r="265" spans="1:1" x14ac:dyDescent="0.25">
      <c r="A265">
        <v>13000</v>
      </c>
    </row>
    <row r="266" spans="1:1" x14ac:dyDescent="0.25">
      <c r="A266">
        <v>13050</v>
      </c>
    </row>
    <row r="267" spans="1:1" x14ac:dyDescent="0.25">
      <c r="A267">
        <v>13100</v>
      </c>
    </row>
    <row r="268" spans="1:1" x14ac:dyDescent="0.25">
      <c r="A268">
        <v>13150</v>
      </c>
    </row>
    <row r="269" spans="1:1" x14ac:dyDescent="0.25">
      <c r="A269">
        <v>13200</v>
      </c>
    </row>
    <row r="270" spans="1:1" x14ac:dyDescent="0.25">
      <c r="A270">
        <v>13250</v>
      </c>
    </row>
    <row r="271" spans="1:1" x14ac:dyDescent="0.25">
      <c r="A271">
        <v>13300</v>
      </c>
    </row>
    <row r="272" spans="1:1" x14ac:dyDescent="0.25">
      <c r="A272">
        <v>13350</v>
      </c>
    </row>
    <row r="273" spans="1:1" x14ac:dyDescent="0.25">
      <c r="A273">
        <v>13400</v>
      </c>
    </row>
    <row r="274" spans="1:1" x14ac:dyDescent="0.25">
      <c r="A274">
        <v>13450</v>
      </c>
    </row>
    <row r="275" spans="1:1" x14ac:dyDescent="0.25">
      <c r="A275">
        <v>13500</v>
      </c>
    </row>
    <row r="276" spans="1:1" x14ac:dyDescent="0.25">
      <c r="A276">
        <v>13550</v>
      </c>
    </row>
    <row r="277" spans="1:1" x14ac:dyDescent="0.25">
      <c r="A277">
        <v>13600</v>
      </c>
    </row>
    <row r="278" spans="1:1" x14ac:dyDescent="0.25">
      <c r="A278">
        <v>13650</v>
      </c>
    </row>
    <row r="279" spans="1:1" x14ac:dyDescent="0.25">
      <c r="A279">
        <v>13700</v>
      </c>
    </row>
    <row r="280" spans="1:1" x14ac:dyDescent="0.25">
      <c r="A280">
        <v>13750</v>
      </c>
    </row>
    <row r="281" spans="1:1" x14ac:dyDescent="0.25">
      <c r="A281">
        <v>13800</v>
      </c>
    </row>
    <row r="282" spans="1:1" x14ac:dyDescent="0.25">
      <c r="A282">
        <v>13850</v>
      </c>
    </row>
    <row r="283" spans="1:1" x14ac:dyDescent="0.25">
      <c r="A283">
        <v>13900</v>
      </c>
    </row>
    <row r="284" spans="1:1" x14ac:dyDescent="0.25">
      <c r="A284">
        <v>13950</v>
      </c>
    </row>
    <row r="285" spans="1:1" x14ac:dyDescent="0.25">
      <c r="A285">
        <v>14000</v>
      </c>
    </row>
    <row r="286" spans="1:1" x14ac:dyDescent="0.25">
      <c r="A286">
        <v>14050</v>
      </c>
    </row>
    <row r="287" spans="1:1" x14ac:dyDescent="0.25">
      <c r="A287">
        <v>14100</v>
      </c>
    </row>
    <row r="288" spans="1:1" x14ac:dyDescent="0.25">
      <c r="A288">
        <v>14150</v>
      </c>
    </row>
    <row r="289" spans="1:1" x14ac:dyDescent="0.25">
      <c r="A289">
        <v>14200</v>
      </c>
    </row>
    <row r="290" spans="1:1" x14ac:dyDescent="0.25">
      <c r="A290">
        <v>14250</v>
      </c>
    </row>
    <row r="291" spans="1:1" x14ac:dyDescent="0.25">
      <c r="A291">
        <v>14300</v>
      </c>
    </row>
    <row r="292" spans="1:1" x14ac:dyDescent="0.25">
      <c r="A292">
        <v>14350</v>
      </c>
    </row>
    <row r="293" spans="1:1" x14ac:dyDescent="0.25">
      <c r="A293">
        <v>14400</v>
      </c>
    </row>
    <row r="294" spans="1:1" x14ac:dyDescent="0.25">
      <c r="A294">
        <v>14450</v>
      </c>
    </row>
    <row r="295" spans="1:1" x14ac:dyDescent="0.25">
      <c r="A295">
        <v>14500</v>
      </c>
    </row>
    <row r="296" spans="1:1" x14ac:dyDescent="0.25">
      <c r="A296">
        <v>14550</v>
      </c>
    </row>
    <row r="297" spans="1:1" x14ac:dyDescent="0.25">
      <c r="A297">
        <v>14600</v>
      </c>
    </row>
    <row r="298" spans="1:1" x14ac:dyDescent="0.25">
      <c r="A298">
        <v>14650</v>
      </c>
    </row>
    <row r="299" spans="1:1" x14ac:dyDescent="0.25">
      <c r="A299">
        <v>14700</v>
      </c>
    </row>
    <row r="300" spans="1:1" x14ac:dyDescent="0.25">
      <c r="A300">
        <v>14750</v>
      </c>
    </row>
    <row r="301" spans="1:1" x14ac:dyDescent="0.25">
      <c r="A301">
        <v>14800</v>
      </c>
    </row>
    <row r="302" spans="1:1" x14ac:dyDescent="0.25">
      <c r="A302">
        <v>14850</v>
      </c>
    </row>
    <row r="303" spans="1:1" x14ac:dyDescent="0.25">
      <c r="A303">
        <v>14900</v>
      </c>
    </row>
    <row r="304" spans="1:1" x14ac:dyDescent="0.25">
      <c r="A304">
        <v>14950</v>
      </c>
    </row>
    <row r="305" spans="1:1" x14ac:dyDescent="0.25">
      <c r="A305">
        <v>15000</v>
      </c>
    </row>
    <row r="306" spans="1:1" x14ac:dyDescent="0.25">
      <c r="A306">
        <v>15050</v>
      </c>
    </row>
    <row r="307" spans="1:1" x14ac:dyDescent="0.25">
      <c r="A307">
        <v>15100</v>
      </c>
    </row>
    <row r="308" spans="1:1" x14ac:dyDescent="0.25">
      <c r="A308">
        <v>15150</v>
      </c>
    </row>
    <row r="309" spans="1:1" x14ac:dyDescent="0.25">
      <c r="A309">
        <v>15200</v>
      </c>
    </row>
    <row r="310" spans="1:1" x14ac:dyDescent="0.25">
      <c r="A310">
        <v>15250</v>
      </c>
    </row>
    <row r="311" spans="1:1" x14ac:dyDescent="0.25">
      <c r="A311">
        <v>15300</v>
      </c>
    </row>
    <row r="312" spans="1:1" x14ac:dyDescent="0.25">
      <c r="A312">
        <v>15350</v>
      </c>
    </row>
    <row r="313" spans="1:1" x14ac:dyDescent="0.25">
      <c r="A313">
        <v>15400</v>
      </c>
    </row>
    <row r="314" spans="1:1" x14ac:dyDescent="0.25">
      <c r="A314">
        <v>15450</v>
      </c>
    </row>
    <row r="315" spans="1:1" x14ac:dyDescent="0.25">
      <c r="A315">
        <v>15500</v>
      </c>
    </row>
    <row r="316" spans="1:1" x14ac:dyDescent="0.25">
      <c r="A316">
        <v>15550</v>
      </c>
    </row>
    <row r="317" spans="1:1" x14ac:dyDescent="0.25">
      <c r="A317">
        <v>15600</v>
      </c>
    </row>
    <row r="318" spans="1:1" x14ac:dyDescent="0.25">
      <c r="A318">
        <v>15650</v>
      </c>
    </row>
    <row r="319" spans="1:1" x14ac:dyDescent="0.25">
      <c r="A319">
        <v>15700</v>
      </c>
    </row>
    <row r="320" spans="1:1" x14ac:dyDescent="0.25">
      <c r="A320">
        <v>15750</v>
      </c>
    </row>
    <row r="321" spans="1:1" x14ac:dyDescent="0.25">
      <c r="A321">
        <v>15800</v>
      </c>
    </row>
    <row r="322" spans="1:1" x14ac:dyDescent="0.25">
      <c r="A322">
        <v>15850</v>
      </c>
    </row>
    <row r="323" spans="1:1" x14ac:dyDescent="0.25">
      <c r="A323">
        <v>15900</v>
      </c>
    </row>
    <row r="324" spans="1:1" x14ac:dyDescent="0.25">
      <c r="A324">
        <v>15950</v>
      </c>
    </row>
    <row r="325" spans="1:1" x14ac:dyDescent="0.25">
      <c r="A325">
        <v>16000</v>
      </c>
    </row>
    <row r="326" spans="1:1" x14ac:dyDescent="0.25">
      <c r="A326">
        <v>16050</v>
      </c>
    </row>
    <row r="327" spans="1:1" x14ac:dyDescent="0.25">
      <c r="A327">
        <v>16100</v>
      </c>
    </row>
    <row r="328" spans="1:1" x14ac:dyDescent="0.25">
      <c r="A328">
        <v>16150</v>
      </c>
    </row>
    <row r="329" spans="1:1" x14ac:dyDescent="0.25">
      <c r="A329">
        <v>16200</v>
      </c>
    </row>
    <row r="330" spans="1:1" x14ac:dyDescent="0.25">
      <c r="A330">
        <v>16250</v>
      </c>
    </row>
    <row r="331" spans="1:1" x14ac:dyDescent="0.25">
      <c r="A331">
        <v>16300</v>
      </c>
    </row>
    <row r="332" spans="1:1" x14ac:dyDescent="0.25">
      <c r="A332">
        <v>16350</v>
      </c>
    </row>
    <row r="333" spans="1:1" x14ac:dyDescent="0.25">
      <c r="A333">
        <v>16400</v>
      </c>
    </row>
    <row r="334" spans="1:1" x14ac:dyDescent="0.25">
      <c r="A334">
        <v>16450</v>
      </c>
    </row>
    <row r="335" spans="1:1" x14ac:dyDescent="0.25">
      <c r="A335">
        <v>16500</v>
      </c>
    </row>
    <row r="336" spans="1:1" x14ac:dyDescent="0.25">
      <c r="A336">
        <v>16550</v>
      </c>
    </row>
    <row r="337" spans="1:1" x14ac:dyDescent="0.25">
      <c r="A337">
        <v>16600</v>
      </c>
    </row>
    <row r="338" spans="1:1" x14ac:dyDescent="0.25">
      <c r="A338">
        <v>16650</v>
      </c>
    </row>
    <row r="339" spans="1:1" x14ac:dyDescent="0.25">
      <c r="A339">
        <v>16700</v>
      </c>
    </row>
    <row r="340" spans="1:1" x14ac:dyDescent="0.25">
      <c r="A340">
        <v>16750</v>
      </c>
    </row>
    <row r="341" spans="1:1" x14ac:dyDescent="0.25">
      <c r="A341">
        <v>16800</v>
      </c>
    </row>
    <row r="342" spans="1:1" x14ac:dyDescent="0.25">
      <c r="A342">
        <v>16850</v>
      </c>
    </row>
    <row r="343" spans="1:1" x14ac:dyDescent="0.25">
      <c r="A343">
        <v>16900</v>
      </c>
    </row>
    <row r="344" spans="1:1" x14ac:dyDescent="0.25">
      <c r="A344">
        <v>16950</v>
      </c>
    </row>
    <row r="345" spans="1:1" x14ac:dyDescent="0.25">
      <c r="A345">
        <v>17000</v>
      </c>
    </row>
    <row r="346" spans="1:1" x14ac:dyDescent="0.25">
      <c r="A346">
        <v>17050</v>
      </c>
    </row>
    <row r="347" spans="1:1" x14ac:dyDescent="0.25">
      <c r="A347">
        <v>17100</v>
      </c>
    </row>
    <row r="348" spans="1:1" x14ac:dyDescent="0.25">
      <c r="A348">
        <v>17150</v>
      </c>
    </row>
    <row r="349" spans="1:1" x14ac:dyDescent="0.25">
      <c r="A349">
        <v>17200</v>
      </c>
    </row>
    <row r="350" spans="1:1" x14ac:dyDescent="0.25">
      <c r="A350">
        <v>17250</v>
      </c>
    </row>
    <row r="351" spans="1:1" x14ac:dyDescent="0.25">
      <c r="A351">
        <v>17300</v>
      </c>
    </row>
    <row r="352" spans="1:1" x14ac:dyDescent="0.25">
      <c r="A352">
        <v>17350</v>
      </c>
    </row>
    <row r="353" spans="1:1" x14ac:dyDescent="0.25">
      <c r="A353">
        <v>17400</v>
      </c>
    </row>
    <row r="354" spans="1:1" x14ac:dyDescent="0.25">
      <c r="A354">
        <v>17450</v>
      </c>
    </row>
    <row r="355" spans="1:1" x14ac:dyDescent="0.25">
      <c r="A355">
        <v>17500</v>
      </c>
    </row>
    <row r="356" spans="1:1" x14ac:dyDescent="0.25">
      <c r="A356">
        <v>17550</v>
      </c>
    </row>
    <row r="357" spans="1:1" x14ac:dyDescent="0.25">
      <c r="A357">
        <v>17600</v>
      </c>
    </row>
    <row r="358" spans="1:1" x14ac:dyDescent="0.25">
      <c r="A358">
        <v>17650</v>
      </c>
    </row>
    <row r="359" spans="1:1" x14ac:dyDescent="0.25">
      <c r="A359">
        <v>17700</v>
      </c>
    </row>
    <row r="360" spans="1:1" x14ac:dyDescent="0.25">
      <c r="A360">
        <v>17750</v>
      </c>
    </row>
    <row r="361" spans="1:1" x14ac:dyDescent="0.25">
      <c r="A361">
        <v>17800</v>
      </c>
    </row>
    <row r="362" spans="1:1" x14ac:dyDescent="0.25">
      <c r="A362">
        <v>17850</v>
      </c>
    </row>
    <row r="363" spans="1:1" x14ac:dyDescent="0.25">
      <c r="A363">
        <v>17900</v>
      </c>
    </row>
    <row r="364" spans="1:1" x14ac:dyDescent="0.25">
      <c r="A364">
        <v>17950</v>
      </c>
    </row>
    <row r="365" spans="1:1" x14ac:dyDescent="0.25">
      <c r="A365">
        <v>18000</v>
      </c>
    </row>
  </sheetData>
  <mergeCells count="3">
    <mergeCell ref="J67:U67"/>
    <mergeCell ref="J28:R28"/>
    <mergeCell ref="AA22:AM22"/>
  </mergeCells>
  <dataValidations disablePrompts="1" count="1">
    <dataValidation type="list" allowBlank="1" showInputMessage="1" showErrorMessage="1" sqref="J13" xr:uid="{29414B40-72B5-43CD-BAF7-EBA8BE106BF9}">
      <formula1>"0:ANT,1:BIT"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0837-B9D8-4482-835B-7E0DD2B30E78}">
  <sheetPr codeName="Sheet2"/>
  <dimension ref="C2:AK39"/>
  <sheetViews>
    <sheetView tabSelected="1" topLeftCell="A3" zoomScaleNormal="100" workbookViewId="0">
      <selection activeCell="H27" sqref="H27"/>
    </sheetView>
  </sheetViews>
  <sheetFormatPr defaultRowHeight="15" x14ac:dyDescent="0.25"/>
  <cols>
    <col min="5" max="5" width="11.42578125" customWidth="1"/>
    <col min="6" max="6" width="23.5703125" style="1" customWidth="1"/>
    <col min="7" max="7" width="20.7109375" style="1" customWidth="1"/>
    <col min="8" max="8" width="16.7109375" customWidth="1"/>
    <col min="9" max="9" width="18.7109375" style="1" customWidth="1"/>
    <col min="10" max="10" width="16.7109375" style="1" customWidth="1"/>
    <col min="11" max="19" width="16.7109375" customWidth="1"/>
    <col min="20" max="20" width="16.7109375" style="48" customWidth="1"/>
    <col min="21" max="21" width="9.28515625" style="48" hidden="1" customWidth="1"/>
    <col min="22" max="22" width="9.28515625" style="48" customWidth="1"/>
    <col min="23" max="23" width="12.5703125" style="48" customWidth="1"/>
    <col min="24" max="24" width="16.7109375" style="48" customWidth="1"/>
    <col min="25" max="25" width="11" style="48" customWidth="1"/>
    <col min="26" max="26" width="9.5703125" style="48" customWidth="1"/>
    <col min="27" max="27" width="7" customWidth="1"/>
    <col min="28" max="28" width="9.42578125" style="1" customWidth="1"/>
    <col min="29" max="29" width="10.28515625" style="1" customWidth="1"/>
    <col min="30" max="30" width="10.7109375" style="1" customWidth="1"/>
    <col min="31" max="37" width="10.7109375" customWidth="1"/>
    <col min="38" max="46" width="9.140625" customWidth="1"/>
    <col min="49" max="49" width="9.140625" customWidth="1"/>
  </cols>
  <sheetData>
    <row r="2" spans="3:37" x14ac:dyDescent="0.25">
      <c r="T2" s="55" t="s">
        <v>95</v>
      </c>
      <c r="U2" s="57" t="s">
        <v>90</v>
      </c>
      <c r="V2" s="57" t="s">
        <v>90</v>
      </c>
      <c r="W2" s="57" t="s">
        <v>91</v>
      </c>
      <c r="X2" s="57" t="s">
        <v>92</v>
      </c>
      <c r="Y2" s="57" t="s">
        <v>93</v>
      </c>
      <c r="Z2" s="57" t="s">
        <v>94</v>
      </c>
    </row>
    <row r="3" spans="3:37" ht="15.75" thickBot="1" x14ac:dyDescent="0.3">
      <c r="T3" s="56" t="s">
        <v>29</v>
      </c>
      <c r="U3" s="51">
        <v>6</v>
      </c>
      <c r="V3" s="51" t="str">
        <f>"0x"&amp;DEC2HEX(U3)</f>
        <v>0x6</v>
      </c>
      <c r="W3" s="51" t="str">
        <f>DEC2HEX(C11,8)</f>
        <v>0000C8F0</v>
      </c>
      <c r="X3" s="51" t="str">
        <f t="shared" ref="X3:X10" si="0">"0x"&amp;DEC2HEX(U3*2^24+HEX2DEC(W3),8)</f>
        <v>0x0600C8F0</v>
      </c>
      <c r="Y3" s="51">
        <f t="shared" ref="Y3:Y37" si="1">_xlfn.BITXOR(_xlfn.BITXOR(MOD(HEX2DEC(W3),256),MOD(INT(HEX2DEC(W3)/256),256)),INT(HEX2DEC(W3)/65536))</f>
        <v>56</v>
      </c>
      <c r="Z3" s="51"/>
    </row>
    <row r="4" spans="3:37" ht="18.75" x14ac:dyDescent="0.3">
      <c r="E4" s="70" t="s">
        <v>46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  <c r="T4" s="56" t="s">
        <v>98</v>
      </c>
      <c r="U4" s="51">
        <v>7</v>
      </c>
      <c r="V4" s="51" t="str">
        <f t="shared" ref="V4:V37" si="2">"0x"&amp;DEC2HEX(U4)</f>
        <v>0x7</v>
      </c>
      <c r="W4" s="51" t="str">
        <f>DEC2HEX(C22,8)</f>
        <v>00021003</v>
      </c>
      <c r="X4" s="51" t="str">
        <f t="shared" si="0"/>
        <v>0x07021003</v>
      </c>
      <c r="Y4" s="51">
        <f t="shared" si="1"/>
        <v>17</v>
      </c>
      <c r="Z4" s="51"/>
    </row>
    <row r="5" spans="3:37" x14ac:dyDescent="0.25">
      <c r="E5" s="13"/>
      <c r="F5" s="10"/>
      <c r="G5" s="10"/>
      <c r="H5" s="6"/>
      <c r="I5" s="10"/>
      <c r="J5" s="10"/>
      <c r="K5" s="6"/>
      <c r="L5" s="6"/>
      <c r="M5" s="6"/>
      <c r="N5" s="6"/>
      <c r="O5" s="6"/>
      <c r="P5" s="6"/>
      <c r="Q5" s="6"/>
      <c r="R5" s="8"/>
      <c r="T5" s="60" t="s">
        <v>96</v>
      </c>
      <c r="U5" s="51">
        <v>8</v>
      </c>
      <c r="V5" s="51" t="str">
        <f t="shared" si="2"/>
        <v>0x8</v>
      </c>
      <c r="W5" s="52" t="str">
        <f>DEC2HEX(AD27,8)</f>
        <v>00081C2B</v>
      </c>
      <c r="X5" s="51" t="str">
        <f t="shared" si="0"/>
        <v>0x08081C2B</v>
      </c>
      <c r="Y5" s="51">
        <f t="shared" si="1"/>
        <v>63</v>
      </c>
      <c r="Z5" s="51">
        <f t="shared" ref="Z5:Z10" si="3">_xlfn.BITXOR(Y4,Y5)</f>
        <v>46</v>
      </c>
    </row>
    <row r="6" spans="3:37" ht="18.75" x14ac:dyDescent="0.25">
      <c r="C6" s="65" t="s">
        <v>29</v>
      </c>
      <c r="D6" s="66"/>
      <c r="E6" s="13"/>
      <c r="F6" s="10"/>
      <c r="G6" s="10"/>
      <c r="H6" s="6"/>
      <c r="I6" s="73" t="s">
        <v>36</v>
      </c>
      <c r="J6" s="74"/>
      <c r="K6" s="74"/>
      <c r="L6" s="74"/>
      <c r="M6" s="74"/>
      <c r="N6" s="74"/>
      <c r="O6" s="74"/>
      <c r="P6" s="74"/>
      <c r="Q6" s="75"/>
      <c r="R6" s="8"/>
      <c r="T6" s="60"/>
      <c r="U6" s="51">
        <v>9</v>
      </c>
      <c r="V6" s="51" t="str">
        <f t="shared" si="2"/>
        <v>0x9</v>
      </c>
      <c r="W6" s="51" t="str">
        <f ca="1">DEC2HEX(AD28,8)</f>
        <v>000038C9</v>
      </c>
      <c r="X6" s="51" t="str">
        <f t="shared" ca="1" si="0"/>
        <v>0x090038C9</v>
      </c>
      <c r="Y6" s="51">
        <f t="shared" ca="1" si="1"/>
        <v>241</v>
      </c>
      <c r="Z6" s="51">
        <f t="shared" ca="1" si="3"/>
        <v>206</v>
      </c>
    </row>
    <row r="7" spans="3:37" ht="18.75" x14ac:dyDescent="0.25">
      <c r="C7" s="1" t="s">
        <v>82</v>
      </c>
      <c r="D7" s="1" t="s">
        <v>89</v>
      </c>
      <c r="E7" s="13"/>
      <c r="F7" s="69" t="s">
        <v>29</v>
      </c>
      <c r="G7" s="69"/>
      <c r="H7" s="6"/>
      <c r="I7" s="14"/>
      <c r="J7" s="15">
        <v>1</v>
      </c>
      <c r="K7" s="15">
        <v>2</v>
      </c>
      <c r="L7" s="15">
        <v>3</v>
      </c>
      <c r="M7" s="15">
        <v>4</v>
      </c>
      <c r="N7" s="15">
        <v>5</v>
      </c>
      <c r="O7" s="15">
        <v>6</v>
      </c>
      <c r="P7" s="15">
        <v>7</v>
      </c>
      <c r="Q7" s="15">
        <v>8</v>
      </c>
      <c r="R7" s="8"/>
      <c r="T7" s="60"/>
      <c r="U7" s="51">
        <v>10</v>
      </c>
      <c r="V7" s="51" t="str">
        <f t="shared" si="2"/>
        <v>0xA</v>
      </c>
      <c r="W7" s="51" t="str">
        <f ca="1">DEC2HEX(AD29,8)</f>
        <v>00000919</v>
      </c>
      <c r="X7" s="51" t="str">
        <f t="shared" ca="1" si="0"/>
        <v>0x0A000919</v>
      </c>
      <c r="Y7" s="51">
        <f t="shared" ca="1" si="1"/>
        <v>16</v>
      </c>
      <c r="Z7" s="51">
        <f t="shared" ca="1" si="3"/>
        <v>225</v>
      </c>
      <c r="AB7" s="2"/>
      <c r="AC7" s="2" t="s">
        <v>82</v>
      </c>
      <c r="AD7" s="3">
        <v>1</v>
      </c>
      <c r="AE7" s="4">
        <v>2</v>
      </c>
      <c r="AF7" s="4">
        <v>3</v>
      </c>
      <c r="AG7" s="4">
        <v>4</v>
      </c>
      <c r="AH7" s="4">
        <v>5</v>
      </c>
      <c r="AI7" s="4">
        <v>6</v>
      </c>
      <c r="AJ7" s="4">
        <v>7</v>
      </c>
      <c r="AK7" s="4">
        <v>8</v>
      </c>
    </row>
    <row r="8" spans="3:37" x14ac:dyDescent="0.25">
      <c r="C8" s="1">
        <v>0</v>
      </c>
      <c r="D8" s="1">
        <f>MATCH(G8,OpMode,0)-1</f>
        <v>0</v>
      </c>
      <c r="E8" s="13"/>
      <c r="F8" s="15" t="s">
        <v>37</v>
      </c>
      <c r="G8" s="14" t="s">
        <v>87</v>
      </c>
      <c r="H8" s="6"/>
      <c r="I8" s="29" t="s">
        <v>18</v>
      </c>
      <c r="J8" s="30" t="s">
        <v>7</v>
      </c>
      <c r="K8" s="30" t="s">
        <v>7</v>
      </c>
      <c r="L8" s="30" t="s">
        <v>7</v>
      </c>
      <c r="M8" s="30" t="s">
        <v>7</v>
      </c>
      <c r="N8" s="30" t="s">
        <v>7</v>
      </c>
      <c r="O8" s="30" t="s">
        <v>7</v>
      </c>
      <c r="P8" s="30" t="s">
        <v>7</v>
      </c>
      <c r="Q8" s="30" t="s">
        <v>7</v>
      </c>
      <c r="R8" s="8"/>
      <c r="T8" s="60"/>
      <c r="U8" s="51">
        <v>11</v>
      </c>
      <c r="V8" s="51" t="str">
        <f t="shared" si="2"/>
        <v>0xB</v>
      </c>
      <c r="W8" s="51" t="str">
        <f>DEC2HEX(AD30,8)</f>
        <v>00000001</v>
      </c>
      <c r="X8" s="51" t="str">
        <f t="shared" si="0"/>
        <v>0x0B000001</v>
      </c>
      <c r="Y8" s="51">
        <f t="shared" si="1"/>
        <v>1</v>
      </c>
      <c r="Z8" s="83">
        <f t="shared" ca="1" si="3"/>
        <v>17</v>
      </c>
      <c r="AB8" s="61" t="s">
        <v>103</v>
      </c>
      <c r="AC8" s="53">
        <v>0</v>
      </c>
      <c r="AD8" s="2">
        <f t="shared" ref="AD8:AK8" si="4">(MATCH(J8,RFISRC,0)-1)</f>
        <v>1</v>
      </c>
      <c r="AE8" s="2">
        <f t="shared" si="4"/>
        <v>1</v>
      </c>
      <c r="AF8" s="2">
        <f t="shared" si="4"/>
        <v>1</v>
      </c>
      <c r="AG8" s="2">
        <f t="shared" si="4"/>
        <v>1</v>
      </c>
      <c r="AH8" s="2">
        <f t="shared" si="4"/>
        <v>1</v>
      </c>
      <c r="AI8" s="2">
        <f t="shared" si="4"/>
        <v>1</v>
      </c>
      <c r="AJ8" s="2">
        <f t="shared" si="4"/>
        <v>1</v>
      </c>
      <c r="AK8" s="2">
        <f t="shared" si="4"/>
        <v>1</v>
      </c>
    </row>
    <row r="9" spans="3:37" x14ac:dyDescent="0.25">
      <c r="C9" s="1">
        <v>2</v>
      </c>
      <c r="D9" s="1">
        <f>G9</f>
        <v>60</v>
      </c>
      <c r="E9" s="13"/>
      <c r="F9" s="15" t="s">
        <v>114</v>
      </c>
      <c r="G9" s="14">
        <v>60</v>
      </c>
      <c r="H9" s="6"/>
      <c r="I9" s="29" t="s">
        <v>8</v>
      </c>
      <c r="J9" s="3" t="s">
        <v>3</v>
      </c>
      <c r="K9" s="3" t="s">
        <v>3</v>
      </c>
      <c r="L9" s="3" t="s">
        <v>5</v>
      </c>
      <c r="M9" s="3" t="s">
        <v>3</v>
      </c>
      <c r="N9" s="3" t="s">
        <v>3</v>
      </c>
      <c r="O9" s="3" t="s">
        <v>4</v>
      </c>
      <c r="P9" s="3" t="s">
        <v>5</v>
      </c>
      <c r="Q9" s="3" t="s">
        <v>5</v>
      </c>
      <c r="R9" s="8"/>
      <c r="T9" s="60" t="s">
        <v>107</v>
      </c>
      <c r="U9" s="51">
        <v>12</v>
      </c>
      <c r="V9" s="51" t="str">
        <f t="shared" si="2"/>
        <v>0xC</v>
      </c>
      <c r="W9" s="52" t="str">
        <f>DEC2HEX(AE27,8)</f>
        <v>00081C2B</v>
      </c>
      <c r="X9" s="51" t="str">
        <f t="shared" si="0"/>
        <v>0x0C081C2B</v>
      </c>
      <c r="Y9" s="51">
        <f t="shared" si="1"/>
        <v>63</v>
      </c>
      <c r="Z9" s="51">
        <f t="shared" si="3"/>
        <v>62</v>
      </c>
      <c r="AB9" s="61"/>
      <c r="AC9" s="53">
        <v>1</v>
      </c>
      <c r="AD9" s="2">
        <f t="shared" ref="AD9:AK9" si="5">(MATCH(J9,RFIBS,0)-1)</f>
        <v>1</v>
      </c>
      <c r="AE9" s="2">
        <f t="shared" si="5"/>
        <v>1</v>
      </c>
      <c r="AF9" s="2">
        <f t="shared" si="5"/>
        <v>0</v>
      </c>
      <c r="AG9" s="2">
        <f t="shared" si="5"/>
        <v>1</v>
      </c>
      <c r="AH9" s="2">
        <f t="shared" si="5"/>
        <v>1</v>
      </c>
      <c r="AI9" s="2">
        <f t="shared" si="5"/>
        <v>2</v>
      </c>
      <c r="AJ9" s="2">
        <f t="shared" si="5"/>
        <v>0</v>
      </c>
      <c r="AK9" s="2">
        <f t="shared" si="5"/>
        <v>0</v>
      </c>
    </row>
    <row r="10" spans="3:37" x14ac:dyDescent="0.25">
      <c r="C10" s="1">
        <v>8</v>
      </c>
      <c r="D10" s="1">
        <f>G10</f>
        <v>200</v>
      </c>
      <c r="E10" s="13"/>
      <c r="F10" s="15" t="s">
        <v>30</v>
      </c>
      <c r="G10" s="14">
        <v>200</v>
      </c>
      <c r="H10" s="6"/>
      <c r="I10" s="29" t="s">
        <v>9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  <c r="Q10" s="3" t="s">
        <v>2</v>
      </c>
      <c r="R10" s="8"/>
      <c r="T10" s="60"/>
      <c r="U10" s="51">
        <v>13</v>
      </c>
      <c r="V10" s="51" t="str">
        <f t="shared" si="2"/>
        <v>0xD</v>
      </c>
      <c r="W10" s="51" t="str">
        <f ca="1">DEC2HEX(AE28,8)</f>
        <v>00041806</v>
      </c>
      <c r="X10" s="51" t="str">
        <f t="shared" ca="1" si="0"/>
        <v>0x0D041806</v>
      </c>
      <c r="Y10" s="51">
        <f t="shared" ca="1" si="1"/>
        <v>26</v>
      </c>
      <c r="Z10" s="51">
        <f t="shared" ca="1" si="3"/>
        <v>37</v>
      </c>
      <c r="AB10" s="61"/>
      <c r="AC10" s="53">
        <v>3</v>
      </c>
      <c r="AD10" s="2">
        <f t="shared" ref="AD10:AK10" si="6">(MATCH(J10,IFOBS,0)-1)</f>
        <v>1</v>
      </c>
      <c r="AE10" s="2">
        <f t="shared" si="6"/>
        <v>1</v>
      </c>
      <c r="AF10" s="2">
        <f t="shared" si="6"/>
        <v>1</v>
      </c>
      <c r="AG10" s="2">
        <f t="shared" si="6"/>
        <v>1</v>
      </c>
      <c r="AH10" s="2">
        <f t="shared" si="6"/>
        <v>1</v>
      </c>
      <c r="AI10" s="2">
        <f t="shared" si="6"/>
        <v>1</v>
      </c>
      <c r="AJ10" s="2">
        <f t="shared" si="6"/>
        <v>1</v>
      </c>
      <c r="AK10" s="2">
        <f t="shared" si="6"/>
        <v>1</v>
      </c>
    </row>
    <row r="11" spans="3:37" x14ac:dyDescent="0.25">
      <c r="C11" s="1">
        <f>D8*2^C8+D9*2^C9+D10*2^C10</f>
        <v>51440</v>
      </c>
      <c r="D11" s="1"/>
      <c r="E11" s="13"/>
      <c r="F11" s="25"/>
      <c r="G11" s="10"/>
      <c r="H11" s="6"/>
      <c r="I11" s="31" t="s">
        <v>0</v>
      </c>
      <c r="J11" s="32">
        <v>1</v>
      </c>
      <c r="K11" s="32">
        <v>1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8"/>
      <c r="T11" s="60"/>
      <c r="U11" s="51">
        <v>14</v>
      </c>
      <c r="V11" s="51" t="str">
        <f t="shared" si="2"/>
        <v>0xE</v>
      </c>
      <c r="W11" s="51" t="str">
        <f ca="1">DEC2HEX(AE29,8)</f>
        <v>00000881</v>
      </c>
      <c r="X11" s="51" t="str">
        <f t="shared" ref="X11:X37" ca="1" si="7">"0x"&amp;DEC2HEX(U11*2^24+HEX2DEC(W11),8)</f>
        <v>0x0E000881</v>
      </c>
      <c r="Y11" s="51">
        <f t="shared" ca="1" si="1"/>
        <v>137</v>
      </c>
      <c r="Z11" s="51">
        <f t="shared" ref="Z11:Z35" ca="1" si="8">_xlfn.BITXOR(Y10,Y11)</f>
        <v>147</v>
      </c>
      <c r="AB11" s="61"/>
      <c r="AC11" s="53">
        <v>4</v>
      </c>
      <c r="AD11" s="2">
        <f t="shared" ref="AD11:AK13" si="9">(MATCH(J11,DCA,0)-1)</f>
        <v>2</v>
      </c>
      <c r="AE11" s="2">
        <f t="shared" si="9"/>
        <v>2</v>
      </c>
      <c r="AF11" s="2">
        <f t="shared" si="9"/>
        <v>0</v>
      </c>
      <c r="AG11" s="2">
        <f t="shared" si="9"/>
        <v>0</v>
      </c>
      <c r="AH11" s="2">
        <f t="shared" si="9"/>
        <v>0</v>
      </c>
      <c r="AI11" s="2">
        <f t="shared" si="9"/>
        <v>0</v>
      </c>
      <c r="AJ11" s="2">
        <f t="shared" si="9"/>
        <v>0</v>
      </c>
      <c r="AK11" s="2">
        <f t="shared" si="9"/>
        <v>0</v>
      </c>
    </row>
    <row r="12" spans="3:37" x14ac:dyDescent="0.25">
      <c r="C12" s="1"/>
      <c r="D12" s="1"/>
      <c r="E12" s="13"/>
      <c r="F12" s="25"/>
      <c r="G12" s="10"/>
      <c r="H12" s="6"/>
      <c r="I12" s="31" t="s">
        <v>1</v>
      </c>
      <c r="J12" s="32">
        <v>3.5</v>
      </c>
      <c r="K12" s="32">
        <v>3.5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8"/>
      <c r="T12" s="60"/>
      <c r="U12" s="51">
        <v>15</v>
      </c>
      <c r="V12" s="51" t="str">
        <f t="shared" si="2"/>
        <v>0xF</v>
      </c>
      <c r="W12" s="51" t="str">
        <f>DEC2HEX(AE30,8)</f>
        <v>00000001</v>
      </c>
      <c r="X12" s="51" t="str">
        <f t="shared" si="7"/>
        <v>0x0F000001</v>
      </c>
      <c r="Y12" s="51">
        <f t="shared" si="1"/>
        <v>1</v>
      </c>
      <c r="Z12" s="83">
        <f t="shared" ca="1" si="8"/>
        <v>136</v>
      </c>
      <c r="AB12" s="61"/>
      <c r="AC12" s="53">
        <v>10</v>
      </c>
      <c r="AD12" s="2">
        <f t="shared" si="9"/>
        <v>7</v>
      </c>
      <c r="AE12" s="2">
        <f t="shared" si="9"/>
        <v>7</v>
      </c>
      <c r="AF12" s="2">
        <f t="shared" si="9"/>
        <v>0</v>
      </c>
      <c r="AG12" s="2">
        <f t="shared" si="9"/>
        <v>0</v>
      </c>
      <c r="AH12" s="2">
        <f t="shared" si="9"/>
        <v>0</v>
      </c>
      <c r="AI12" s="2">
        <f t="shared" si="9"/>
        <v>0</v>
      </c>
      <c r="AJ12" s="2">
        <f t="shared" si="9"/>
        <v>0</v>
      </c>
      <c r="AK12" s="2">
        <f t="shared" si="9"/>
        <v>0</v>
      </c>
    </row>
    <row r="13" spans="3:37" x14ac:dyDescent="0.25">
      <c r="C13" s="1"/>
      <c r="D13" s="1"/>
      <c r="E13" s="13"/>
      <c r="F13" s="10"/>
      <c r="G13" s="10"/>
      <c r="H13" s="6"/>
      <c r="I13" s="31" t="s">
        <v>26</v>
      </c>
      <c r="J13" s="32">
        <v>4</v>
      </c>
      <c r="K13" s="32">
        <v>4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8"/>
      <c r="T13" s="60" t="s">
        <v>108</v>
      </c>
      <c r="U13" s="51">
        <v>16</v>
      </c>
      <c r="V13" s="51" t="str">
        <f t="shared" si="2"/>
        <v>0x10</v>
      </c>
      <c r="W13" s="52" t="str">
        <f>DEC2HEX(AF27,8)</f>
        <v>00000009</v>
      </c>
      <c r="X13" s="51" t="str">
        <f t="shared" si="7"/>
        <v>0x10000009</v>
      </c>
      <c r="Y13" s="51">
        <f t="shared" si="1"/>
        <v>9</v>
      </c>
      <c r="Z13" s="51">
        <f t="shared" si="8"/>
        <v>8</v>
      </c>
      <c r="AB13" s="61"/>
      <c r="AC13" s="53">
        <v>16</v>
      </c>
      <c r="AD13" s="2">
        <f t="shared" si="9"/>
        <v>8</v>
      </c>
      <c r="AE13" s="2">
        <f t="shared" si="9"/>
        <v>8</v>
      </c>
      <c r="AF13" s="2">
        <f t="shared" si="9"/>
        <v>0</v>
      </c>
      <c r="AG13" s="2">
        <f t="shared" si="9"/>
        <v>0</v>
      </c>
      <c r="AH13" s="2">
        <f t="shared" si="9"/>
        <v>0</v>
      </c>
      <c r="AI13" s="2">
        <f t="shared" si="9"/>
        <v>0</v>
      </c>
      <c r="AJ13" s="2">
        <f t="shared" si="9"/>
        <v>0</v>
      </c>
      <c r="AK13" s="2">
        <f t="shared" si="9"/>
        <v>0</v>
      </c>
    </row>
    <row r="14" spans="3:37" x14ac:dyDescent="0.25">
      <c r="C14" s="1"/>
      <c r="D14" s="1"/>
      <c r="E14" s="13"/>
      <c r="F14" s="10"/>
      <c r="G14" s="10"/>
      <c r="H14" s="6"/>
      <c r="I14" s="29" t="s">
        <v>10</v>
      </c>
      <c r="J14" s="3" t="s">
        <v>62</v>
      </c>
      <c r="K14" s="3" t="s">
        <v>63</v>
      </c>
      <c r="L14" s="3" t="s">
        <v>64</v>
      </c>
      <c r="M14" s="3" t="s">
        <v>64</v>
      </c>
      <c r="N14" s="3" t="s">
        <v>64</v>
      </c>
      <c r="O14" s="3" t="s">
        <v>62</v>
      </c>
      <c r="P14" s="3" t="s">
        <v>62</v>
      </c>
      <c r="Q14" s="3" t="s">
        <v>62</v>
      </c>
      <c r="R14" s="8"/>
      <c r="T14" s="60"/>
      <c r="U14" s="51">
        <v>17</v>
      </c>
      <c r="V14" s="51" t="str">
        <f t="shared" si="2"/>
        <v>0x11</v>
      </c>
      <c r="W14" s="51" t="str">
        <f ca="1">DEC2HEX(AF28,8)</f>
        <v>00052B27</v>
      </c>
      <c r="X14" s="51" t="str">
        <f t="shared" ca="1" si="7"/>
        <v>0x11052B27</v>
      </c>
      <c r="Y14" s="51">
        <f t="shared" ca="1" si="1"/>
        <v>9</v>
      </c>
      <c r="Z14" s="51">
        <f t="shared" ca="1" si="8"/>
        <v>0</v>
      </c>
      <c r="AB14" s="62" t="s">
        <v>104</v>
      </c>
      <c r="AC14" s="54">
        <v>0</v>
      </c>
      <c r="AD14" s="2">
        <f t="shared" ref="AD14:AK14" si="10">MATCH(J14,MainBand,0)-1</f>
        <v>1</v>
      </c>
      <c r="AE14" s="2">
        <f t="shared" si="10"/>
        <v>2</v>
      </c>
      <c r="AF14" s="2">
        <f t="shared" si="10"/>
        <v>3</v>
      </c>
      <c r="AG14" s="2">
        <f t="shared" si="10"/>
        <v>3</v>
      </c>
      <c r="AH14" s="2">
        <f t="shared" si="10"/>
        <v>3</v>
      </c>
      <c r="AI14" s="2">
        <f t="shared" si="10"/>
        <v>1</v>
      </c>
      <c r="AJ14" s="2">
        <f t="shared" si="10"/>
        <v>1</v>
      </c>
      <c r="AK14" s="2">
        <f t="shared" si="10"/>
        <v>1</v>
      </c>
    </row>
    <row r="15" spans="3:37" x14ac:dyDescent="0.25">
      <c r="C15" s="1"/>
      <c r="D15" s="1"/>
      <c r="E15" s="13"/>
      <c r="F15" s="10"/>
      <c r="G15" s="10"/>
      <c r="H15" s="6"/>
      <c r="I15" s="29" t="s">
        <v>12</v>
      </c>
      <c r="J15" s="3">
        <v>0.39</v>
      </c>
      <c r="K15" s="3">
        <v>0.93</v>
      </c>
      <c r="L15" s="3">
        <v>2.7</v>
      </c>
      <c r="M15" s="3">
        <v>2</v>
      </c>
      <c r="N15" s="3">
        <v>3.75</v>
      </c>
      <c r="O15" s="3">
        <v>0.38</v>
      </c>
      <c r="P15" s="3">
        <v>0.43</v>
      </c>
      <c r="Q15" s="3">
        <v>0.52</v>
      </c>
      <c r="R15" s="8"/>
      <c r="T15" s="60"/>
      <c r="U15" s="51">
        <v>18</v>
      </c>
      <c r="V15" s="51" t="str">
        <f t="shared" si="2"/>
        <v>0x12</v>
      </c>
      <c r="W15" s="51" t="str">
        <f ca="1">DEC2HEX(AF29,8)</f>
        <v>00000481</v>
      </c>
      <c r="X15" s="51" t="str">
        <f t="shared" ca="1" si="7"/>
        <v>0x12000481</v>
      </c>
      <c r="Y15" s="51">
        <f t="shared" ca="1" si="1"/>
        <v>133</v>
      </c>
      <c r="Z15" s="51">
        <f t="shared" ca="1" si="8"/>
        <v>140</v>
      </c>
      <c r="AB15" s="62"/>
      <c r="AC15" s="54">
        <v>2</v>
      </c>
      <c r="AD15" s="2">
        <f t="shared" ref="AD15:AK15" ca="1" si="11">MATCH(J15,INDIRECT(J14&amp;"_H"),0)</f>
        <v>2</v>
      </c>
      <c r="AE15" s="2">
        <f t="shared" ca="1" si="11"/>
        <v>1</v>
      </c>
      <c r="AF15" s="2">
        <f t="shared" ca="1" si="11"/>
        <v>9</v>
      </c>
      <c r="AG15" s="2">
        <f t="shared" ca="1" si="11"/>
        <v>3</v>
      </c>
      <c r="AH15" s="2">
        <f t="shared" ca="1" si="11"/>
        <v>14</v>
      </c>
      <c r="AI15" s="2">
        <f t="shared" ca="1" si="11"/>
        <v>1</v>
      </c>
      <c r="AJ15" s="2">
        <f t="shared" ca="1" si="11"/>
        <v>6</v>
      </c>
      <c r="AK15" s="2">
        <f t="shared" ca="1" si="11"/>
        <v>10</v>
      </c>
    </row>
    <row r="16" spans="3:37" x14ac:dyDescent="0.25">
      <c r="C16" s="65" t="s">
        <v>98</v>
      </c>
      <c r="D16" s="66"/>
      <c r="E16" s="13"/>
      <c r="F16" s="10"/>
      <c r="G16" s="10"/>
      <c r="H16" s="6"/>
      <c r="I16" s="29" t="s">
        <v>11</v>
      </c>
      <c r="J16" s="3">
        <v>0.65</v>
      </c>
      <c r="K16" s="3">
        <v>2.6</v>
      </c>
      <c r="L16" s="3">
        <v>4.75</v>
      </c>
      <c r="M16" s="3">
        <v>4.0999999999999996</v>
      </c>
      <c r="N16" s="3">
        <v>6</v>
      </c>
      <c r="O16" s="3">
        <v>0.67</v>
      </c>
      <c r="P16" s="3">
        <v>0.78</v>
      </c>
      <c r="Q16" s="3">
        <v>0.85</v>
      </c>
      <c r="R16" s="8"/>
      <c r="T16" s="60"/>
      <c r="U16" s="51">
        <v>19</v>
      </c>
      <c r="V16" s="51" t="str">
        <f t="shared" si="2"/>
        <v>0x13</v>
      </c>
      <c r="W16" s="51" t="str">
        <f>DEC2HEX(AF30,8)</f>
        <v>00000004</v>
      </c>
      <c r="X16" s="51" t="str">
        <f t="shared" si="7"/>
        <v>0x13000004</v>
      </c>
      <c r="Y16" s="51">
        <f t="shared" si="1"/>
        <v>4</v>
      </c>
      <c r="Z16" s="51">
        <f t="shared" ca="1" si="8"/>
        <v>129</v>
      </c>
      <c r="AB16" s="62"/>
      <c r="AC16" s="54">
        <v>6</v>
      </c>
      <c r="AD16" s="2">
        <f t="shared" ref="AD16:AK16" ca="1" si="12">MATCH(J16,INDIRECT(J14&amp;"_L"),0)</f>
        <v>3</v>
      </c>
      <c r="AE16" s="2">
        <f t="shared" ca="1" si="12"/>
        <v>16</v>
      </c>
      <c r="AF16" s="2">
        <f t="shared" ca="1" si="12"/>
        <v>12</v>
      </c>
      <c r="AG16" s="2">
        <f t="shared" ca="1" si="12"/>
        <v>9</v>
      </c>
      <c r="AH16" s="2">
        <f t="shared" ca="1" si="12"/>
        <v>14</v>
      </c>
      <c r="AI16" s="2">
        <f t="shared" ca="1" si="12"/>
        <v>4</v>
      </c>
      <c r="AJ16" s="2">
        <f t="shared" ca="1" si="12"/>
        <v>9</v>
      </c>
      <c r="AK16" s="2">
        <f t="shared" ca="1" si="12"/>
        <v>11</v>
      </c>
    </row>
    <row r="17" spans="3:37" ht="18.75" x14ac:dyDescent="0.25">
      <c r="C17" s="1" t="s">
        <v>82</v>
      </c>
      <c r="D17" s="1" t="s">
        <v>89</v>
      </c>
      <c r="E17" s="13"/>
      <c r="F17" s="69" t="s">
        <v>35</v>
      </c>
      <c r="G17" s="69"/>
      <c r="H17" s="6"/>
      <c r="I17" s="31" t="s">
        <v>15</v>
      </c>
      <c r="J17" s="32" t="s">
        <v>63</v>
      </c>
      <c r="K17" s="32" t="s">
        <v>62</v>
      </c>
      <c r="L17" s="32" t="s">
        <v>63</v>
      </c>
      <c r="M17" s="32" t="s">
        <v>62</v>
      </c>
      <c r="N17" s="32" t="s">
        <v>63</v>
      </c>
      <c r="O17" s="32" t="s">
        <v>63</v>
      </c>
      <c r="P17" s="32" t="s">
        <v>63</v>
      </c>
      <c r="Q17" s="32" t="s">
        <v>63</v>
      </c>
      <c r="R17" s="8"/>
      <c r="T17" s="60" t="s">
        <v>109</v>
      </c>
      <c r="U17" s="51">
        <v>20</v>
      </c>
      <c r="V17" s="51" t="str">
        <f t="shared" si="2"/>
        <v>0x14</v>
      </c>
      <c r="W17" s="52" t="str">
        <f>DEC2HEX(AG27,8)</f>
        <v>0000000B</v>
      </c>
      <c r="X17" s="51" t="str">
        <f t="shared" si="7"/>
        <v>0x1400000B</v>
      </c>
      <c r="Y17" s="51">
        <f t="shared" si="1"/>
        <v>11</v>
      </c>
      <c r="Z17" s="51">
        <f t="shared" si="8"/>
        <v>15</v>
      </c>
      <c r="AB17" s="62"/>
      <c r="AC17" s="54">
        <v>10</v>
      </c>
      <c r="AD17" s="2">
        <f t="shared" ref="AD17:AK17" si="13">MATCH(J17,MainBand,0)-1</f>
        <v>2</v>
      </c>
      <c r="AE17" s="2">
        <f t="shared" si="13"/>
        <v>1</v>
      </c>
      <c r="AF17" s="2">
        <f t="shared" si="13"/>
        <v>2</v>
      </c>
      <c r="AG17" s="2">
        <f t="shared" si="13"/>
        <v>1</v>
      </c>
      <c r="AH17" s="2">
        <f t="shared" si="13"/>
        <v>2</v>
      </c>
      <c r="AI17" s="2">
        <f t="shared" si="13"/>
        <v>2</v>
      </c>
      <c r="AJ17" s="2">
        <f t="shared" si="13"/>
        <v>2</v>
      </c>
      <c r="AK17" s="2">
        <f t="shared" si="13"/>
        <v>2</v>
      </c>
    </row>
    <row r="18" spans="3:37" x14ac:dyDescent="0.25">
      <c r="C18" s="1">
        <v>0</v>
      </c>
      <c r="D18" s="1">
        <f>MATCH(G18,BIT_LO_FREQ,0)-1</f>
        <v>3</v>
      </c>
      <c r="E18" s="13"/>
      <c r="F18" s="15" t="s">
        <v>39</v>
      </c>
      <c r="G18" s="14">
        <v>150</v>
      </c>
      <c r="H18" s="6"/>
      <c r="I18" s="31" t="s">
        <v>13</v>
      </c>
      <c r="J18" s="32">
        <v>0.96</v>
      </c>
      <c r="K18" s="32">
        <v>0.38</v>
      </c>
      <c r="L18" s="32">
        <v>0.95</v>
      </c>
      <c r="M18" s="32">
        <v>0.39</v>
      </c>
      <c r="N18" s="32">
        <v>0.95</v>
      </c>
      <c r="O18" s="32">
        <v>0.95</v>
      </c>
      <c r="P18" s="32">
        <v>0.95</v>
      </c>
      <c r="Q18" s="32">
        <v>0.95</v>
      </c>
      <c r="R18" s="8"/>
      <c r="T18" s="60"/>
      <c r="U18" s="51">
        <v>21</v>
      </c>
      <c r="V18" s="51" t="str">
        <f t="shared" si="2"/>
        <v>0x15</v>
      </c>
      <c r="W18" s="51" t="str">
        <f ca="1">DEC2HEX(AG28,8)</f>
        <v>0008264F</v>
      </c>
      <c r="X18" s="51" t="str">
        <f t="shared" ca="1" si="7"/>
        <v>0x1508264F</v>
      </c>
      <c r="Y18" s="51">
        <f t="shared" ca="1" si="1"/>
        <v>97</v>
      </c>
      <c r="Z18" s="51">
        <f t="shared" ca="1" si="8"/>
        <v>106</v>
      </c>
      <c r="AB18" s="62"/>
      <c r="AC18" s="54">
        <v>12</v>
      </c>
      <c r="AD18" s="2">
        <f t="shared" ref="AD18:AK18" ca="1" si="14">MATCH(J18,INDIRECT(J17&amp;"_H"),0)</f>
        <v>3</v>
      </c>
      <c r="AE18" s="2">
        <f t="shared" ca="1" si="14"/>
        <v>1</v>
      </c>
      <c r="AF18" s="2">
        <f t="shared" ca="1" si="14"/>
        <v>2</v>
      </c>
      <c r="AG18" s="2">
        <f t="shared" ca="1" si="14"/>
        <v>2</v>
      </c>
      <c r="AH18" s="2">
        <f t="shared" ca="1" si="14"/>
        <v>2</v>
      </c>
      <c r="AI18" s="2">
        <f t="shared" ca="1" si="14"/>
        <v>2</v>
      </c>
      <c r="AJ18" s="2">
        <f t="shared" ca="1" si="14"/>
        <v>2</v>
      </c>
      <c r="AK18" s="2">
        <f t="shared" ca="1" si="14"/>
        <v>2</v>
      </c>
    </row>
    <row r="19" spans="3:37" x14ac:dyDescent="0.25">
      <c r="C19" s="1">
        <v>10</v>
      </c>
      <c r="D19" s="1">
        <f>MATCH(G19,BIT_OUT_PWR,0)-1</f>
        <v>4</v>
      </c>
      <c r="E19" s="13"/>
      <c r="F19" s="15" t="s">
        <v>28</v>
      </c>
      <c r="G19" s="14">
        <v>-34</v>
      </c>
      <c r="H19" s="6"/>
      <c r="I19" s="31" t="s">
        <v>14</v>
      </c>
      <c r="J19" s="32">
        <v>1.52</v>
      </c>
      <c r="K19" s="32">
        <v>0.69</v>
      </c>
      <c r="L19" s="32">
        <v>1.73</v>
      </c>
      <c r="M19" s="32">
        <v>0.78</v>
      </c>
      <c r="N19" s="32">
        <v>1.97</v>
      </c>
      <c r="O19" s="32">
        <v>2.0499999999999998</v>
      </c>
      <c r="P19" s="32">
        <v>1.97</v>
      </c>
      <c r="Q19" s="32">
        <v>2.23</v>
      </c>
      <c r="R19" s="8"/>
      <c r="T19" s="60"/>
      <c r="U19" s="51">
        <v>22</v>
      </c>
      <c r="V19" s="51" t="str">
        <f t="shared" si="2"/>
        <v>0x16</v>
      </c>
      <c r="W19" s="51" t="str">
        <f ca="1">DEC2HEX(AG29,8)</f>
        <v>00000489</v>
      </c>
      <c r="X19" s="51" t="str">
        <f t="shared" ca="1" si="7"/>
        <v>0x16000489</v>
      </c>
      <c r="Y19" s="51">
        <f t="shared" ca="1" si="1"/>
        <v>141</v>
      </c>
      <c r="Z19" s="51">
        <f t="shared" ca="1" si="8"/>
        <v>236</v>
      </c>
      <c r="AB19" s="62"/>
      <c r="AC19" s="54">
        <v>16</v>
      </c>
      <c r="AD19" s="2">
        <f t="shared" ref="AD19:AK19" ca="1" si="15">MATCH(J19,INDIRECT(J17&amp;"_L"),0)-1</f>
        <v>0</v>
      </c>
      <c r="AE19" s="2">
        <f t="shared" ca="1" si="15"/>
        <v>4</v>
      </c>
      <c r="AF19" s="2">
        <f t="shared" ca="1" si="15"/>
        <v>5</v>
      </c>
      <c r="AG19" s="2">
        <f t="shared" ca="1" si="15"/>
        <v>8</v>
      </c>
      <c r="AH19" s="2">
        <f t="shared" ca="1" si="15"/>
        <v>9</v>
      </c>
      <c r="AI19" s="2">
        <f t="shared" ca="1" si="15"/>
        <v>10</v>
      </c>
      <c r="AJ19" s="2">
        <f t="shared" ca="1" si="15"/>
        <v>9</v>
      </c>
      <c r="AK19" s="2">
        <f t="shared" ca="1" si="15"/>
        <v>12</v>
      </c>
    </row>
    <row r="20" spans="3:37" x14ac:dyDescent="0.25">
      <c r="C20" s="1">
        <v>16</v>
      </c>
      <c r="D20" s="1">
        <f>MATCH(G20,BIT_INT_EXT,0)-1</f>
        <v>0</v>
      </c>
      <c r="E20" s="13"/>
      <c r="F20" s="15" t="s">
        <v>32</v>
      </c>
      <c r="G20" s="14" t="s">
        <v>34</v>
      </c>
      <c r="H20" s="6"/>
      <c r="I20" s="29" t="s">
        <v>22</v>
      </c>
      <c r="J20" s="3" t="s">
        <v>70</v>
      </c>
      <c r="K20" s="3" t="s">
        <v>70</v>
      </c>
      <c r="L20" s="3" t="s">
        <v>70</v>
      </c>
      <c r="M20" s="3" t="s">
        <v>70</v>
      </c>
      <c r="N20" s="3" t="s">
        <v>70</v>
      </c>
      <c r="O20" s="3" t="s">
        <v>70</v>
      </c>
      <c r="P20" s="3" t="s">
        <v>70</v>
      </c>
      <c r="Q20" s="3" t="s">
        <v>70</v>
      </c>
      <c r="R20" s="8"/>
      <c r="T20" s="60"/>
      <c r="U20" s="51">
        <v>23</v>
      </c>
      <c r="V20" s="51" t="str">
        <f t="shared" si="2"/>
        <v>0x17</v>
      </c>
      <c r="W20" s="51" t="str">
        <f>DEC2HEX(AG30,8)</f>
        <v>00000002</v>
      </c>
      <c r="X20" s="51" t="str">
        <f t="shared" si="7"/>
        <v>0x17000002</v>
      </c>
      <c r="Y20" s="51">
        <f t="shared" si="1"/>
        <v>2</v>
      </c>
      <c r="Z20" s="51">
        <f t="shared" ca="1" si="8"/>
        <v>143</v>
      </c>
      <c r="AB20" s="63" t="s">
        <v>105</v>
      </c>
      <c r="AC20" s="2">
        <v>0</v>
      </c>
      <c r="AD20" s="2">
        <f t="shared" ref="AD20:AK20" si="16">(MATCH(J20,TF2_HPF_SW,0)-1)</f>
        <v>1</v>
      </c>
      <c r="AE20" s="2">
        <f t="shared" si="16"/>
        <v>1</v>
      </c>
      <c r="AF20" s="2">
        <f t="shared" si="16"/>
        <v>1</v>
      </c>
      <c r="AG20" s="2">
        <f t="shared" si="16"/>
        <v>1</v>
      </c>
      <c r="AH20" s="2">
        <f t="shared" si="16"/>
        <v>1</v>
      </c>
      <c r="AI20" s="2">
        <f t="shared" si="16"/>
        <v>1</v>
      </c>
      <c r="AJ20" s="2">
        <f t="shared" si="16"/>
        <v>1</v>
      </c>
      <c r="AK20" s="2">
        <f t="shared" si="16"/>
        <v>1</v>
      </c>
    </row>
    <row r="21" spans="3:37" x14ac:dyDescent="0.25">
      <c r="C21" s="1">
        <v>17</v>
      </c>
      <c r="D21" s="1">
        <f>MATCH(G21,Pls_CW,0)-1</f>
        <v>1</v>
      </c>
      <c r="E21" s="13"/>
      <c r="F21" s="15" t="s">
        <v>24</v>
      </c>
      <c r="G21" s="14" t="s">
        <v>33</v>
      </c>
      <c r="H21" s="6"/>
      <c r="I21" s="29" t="s">
        <v>16</v>
      </c>
      <c r="J21" s="3">
        <v>2.11</v>
      </c>
      <c r="K21" s="3">
        <v>1.75</v>
      </c>
      <c r="L21" s="3">
        <v>1.75</v>
      </c>
      <c r="M21" s="3">
        <v>1.87</v>
      </c>
      <c r="N21" s="3">
        <v>1.75</v>
      </c>
      <c r="O21" s="3">
        <v>1.75</v>
      </c>
      <c r="P21" s="3">
        <v>1.75</v>
      </c>
      <c r="Q21" s="3">
        <v>1.75</v>
      </c>
      <c r="R21" s="8"/>
      <c r="T21" s="60" t="s">
        <v>110</v>
      </c>
      <c r="U21" s="51">
        <v>24</v>
      </c>
      <c r="V21" s="51" t="str">
        <f t="shared" si="2"/>
        <v>0x18</v>
      </c>
      <c r="W21" s="52" t="str">
        <f>DEC2HEX(AH27,8)</f>
        <v>0000000B</v>
      </c>
      <c r="X21" s="51" t="str">
        <f t="shared" si="7"/>
        <v>0x1800000B</v>
      </c>
      <c r="Y21" s="51">
        <f t="shared" si="1"/>
        <v>11</v>
      </c>
      <c r="Z21" s="51">
        <f t="shared" si="8"/>
        <v>9</v>
      </c>
      <c r="AB21" s="63"/>
      <c r="AC21" s="2">
        <v>3</v>
      </c>
      <c r="AD21" s="2">
        <f t="shared" ref="AD21:AK21" ca="1" si="17">MATCH(J21,INDIRECT(J20),0)-1</f>
        <v>3</v>
      </c>
      <c r="AE21" s="2">
        <f t="shared" ca="1" si="17"/>
        <v>0</v>
      </c>
      <c r="AF21" s="2">
        <f t="shared" ca="1" si="17"/>
        <v>0</v>
      </c>
      <c r="AG21" s="2">
        <f t="shared" ca="1" si="17"/>
        <v>1</v>
      </c>
      <c r="AH21" s="2">
        <f t="shared" ca="1" si="17"/>
        <v>0</v>
      </c>
      <c r="AI21" s="2">
        <f t="shared" ca="1" si="17"/>
        <v>0</v>
      </c>
      <c r="AJ21" s="2">
        <f t="shared" ca="1" si="17"/>
        <v>0</v>
      </c>
      <c r="AK21" s="2">
        <f t="shared" ca="1" si="17"/>
        <v>0</v>
      </c>
    </row>
    <row r="22" spans="3:37" x14ac:dyDescent="0.25">
      <c r="C22" s="1">
        <f>D18*2^C18+D19*2^C19+D20*2^C20+D21*2^C21</f>
        <v>135171</v>
      </c>
      <c r="D22" s="1"/>
      <c r="E22" s="13"/>
      <c r="F22" s="10"/>
      <c r="G22" s="10"/>
      <c r="H22" s="6"/>
      <c r="I22" s="29" t="s">
        <v>21</v>
      </c>
      <c r="J22" s="3" t="s">
        <v>75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 t="s">
        <v>74</v>
      </c>
      <c r="R22" s="8"/>
      <c r="T22" s="60"/>
      <c r="U22" s="51">
        <v>25</v>
      </c>
      <c r="V22" s="51" t="str">
        <f t="shared" si="2"/>
        <v>0x19</v>
      </c>
      <c r="W22" s="51" t="str">
        <f ca="1">DEC2HEX(AH28,8)</f>
        <v>00092BBB</v>
      </c>
      <c r="X22" s="51" t="str">
        <f t="shared" ca="1" si="7"/>
        <v>0x19092BBB</v>
      </c>
      <c r="Y22" s="51">
        <f t="shared" ca="1" si="1"/>
        <v>153</v>
      </c>
      <c r="Z22" s="51">
        <f t="shared" ca="1" si="8"/>
        <v>146</v>
      </c>
      <c r="AB22" s="63"/>
      <c r="AC22" s="2">
        <v>7</v>
      </c>
      <c r="AD22" s="2">
        <f t="shared" ref="AD22:AK22" si="18">(MATCH(J22,TF2_LPF_SW,0)-1)</f>
        <v>2</v>
      </c>
      <c r="AE22" s="2">
        <f t="shared" si="18"/>
        <v>1</v>
      </c>
      <c r="AF22" s="2">
        <f t="shared" si="18"/>
        <v>1</v>
      </c>
      <c r="AG22" s="2">
        <f t="shared" si="18"/>
        <v>1</v>
      </c>
      <c r="AH22" s="2">
        <f t="shared" si="18"/>
        <v>1</v>
      </c>
      <c r="AI22" s="2">
        <f t="shared" si="18"/>
        <v>1</v>
      </c>
      <c r="AJ22" s="2">
        <f t="shared" si="18"/>
        <v>1</v>
      </c>
      <c r="AK22" s="2">
        <f t="shared" si="18"/>
        <v>1</v>
      </c>
    </row>
    <row r="23" spans="3:37" x14ac:dyDescent="0.25">
      <c r="E23" s="13"/>
      <c r="F23" s="10"/>
      <c r="G23" s="10" t="s">
        <v>50</v>
      </c>
      <c r="H23" s="6"/>
      <c r="I23" s="29" t="s">
        <v>17</v>
      </c>
      <c r="J23" s="3">
        <v>3.87</v>
      </c>
      <c r="K23" s="3">
        <v>2.29</v>
      </c>
      <c r="L23" s="3">
        <v>2.17</v>
      </c>
      <c r="M23" s="3">
        <v>2.17</v>
      </c>
      <c r="N23" s="3">
        <v>2.17</v>
      </c>
      <c r="O23" s="3">
        <v>2.17</v>
      </c>
      <c r="P23" s="3">
        <v>2.17</v>
      </c>
      <c r="Q23" s="3">
        <v>2.17</v>
      </c>
      <c r="R23" s="8"/>
      <c r="T23" s="60"/>
      <c r="U23" s="51">
        <v>26</v>
      </c>
      <c r="V23" s="51" t="str">
        <f t="shared" si="2"/>
        <v>0x1A</v>
      </c>
      <c r="W23" s="51" t="str">
        <f ca="1">DEC2HEX(AH29,8)</f>
        <v>00000481</v>
      </c>
      <c r="X23" s="51" t="str">
        <f t="shared" ca="1" si="7"/>
        <v>0x1A000481</v>
      </c>
      <c r="Y23" s="51">
        <f t="shared" ca="1" si="1"/>
        <v>133</v>
      </c>
      <c r="Z23" s="51">
        <f t="shared" ca="1" si="8"/>
        <v>28</v>
      </c>
      <c r="AB23" s="63"/>
      <c r="AC23" s="2">
        <v>10</v>
      </c>
      <c r="AD23" s="2">
        <f t="shared" ref="AD23:AK23" ca="1" si="19">MATCH(J23,INDIRECT(J22),0)-1</f>
        <v>2</v>
      </c>
      <c r="AE23" s="2">
        <f t="shared" ca="1" si="19"/>
        <v>2</v>
      </c>
      <c r="AF23" s="2">
        <f t="shared" ca="1" si="19"/>
        <v>1</v>
      </c>
      <c r="AG23" s="2">
        <f t="shared" ca="1" si="19"/>
        <v>1</v>
      </c>
      <c r="AH23" s="2">
        <f t="shared" ca="1" si="19"/>
        <v>1</v>
      </c>
      <c r="AI23" s="2">
        <f t="shared" ca="1" si="19"/>
        <v>1</v>
      </c>
      <c r="AJ23" s="2">
        <f t="shared" ca="1" si="19"/>
        <v>1</v>
      </c>
      <c r="AK23" s="2">
        <f t="shared" ca="1" si="19"/>
        <v>1</v>
      </c>
    </row>
    <row r="24" spans="3:37" x14ac:dyDescent="0.25">
      <c r="E24" s="13"/>
      <c r="F24" s="10"/>
      <c r="G24" s="22" t="b">
        <v>1</v>
      </c>
      <c r="H24" s="6"/>
      <c r="I24" s="31" t="s">
        <v>20</v>
      </c>
      <c r="J24" s="32">
        <v>10125</v>
      </c>
      <c r="K24" s="32">
        <v>10125</v>
      </c>
      <c r="L24" s="32">
        <v>10500</v>
      </c>
      <c r="M24" s="32">
        <v>10250</v>
      </c>
      <c r="N24" s="32">
        <v>10750</v>
      </c>
      <c r="O24" s="32">
        <v>10625</v>
      </c>
      <c r="P24" s="32">
        <v>10750</v>
      </c>
      <c r="Q24" s="32">
        <v>10000</v>
      </c>
      <c r="R24" s="8"/>
      <c r="T24" s="60"/>
      <c r="U24" s="51">
        <v>27</v>
      </c>
      <c r="V24" s="51" t="str">
        <f t="shared" si="2"/>
        <v>0x1B</v>
      </c>
      <c r="W24" s="51" t="str">
        <f>DEC2HEX(AH30,8)</f>
        <v>00000006</v>
      </c>
      <c r="X24" s="51" t="str">
        <f t="shared" si="7"/>
        <v>0x1B000006</v>
      </c>
      <c r="Y24" s="51">
        <f t="shared" si="1"/>
        <v>6</v>
      </c>
      <c r="Z24" s="51">
        <f t="shared" ca="1" si="8"/>
        <v>131</v>
      </c>
      <c r="AB24" s="64" t="s">
        <v>106</v>
      </c>
      <c r="AC24" s="2">
        <v>0</v>
      </c>
      <c r="AD24" s="2">
        <f t="shared" ref="AD24:AK24" si="20">MATCH(J24,LO_FREQ,0)-1</f>
        <v>1</v>
      </c>
      <c r="AE24" s="2">
        <f t="shared" si="20"/>
        <v>1</v>
      </c>
      <c r="AF24" s="2">
        <f t="shared" si="20"/>
        <v>4</v>
      </c>
      <c r="AG24" s="2">
        <f t="shared" si="20"/>
        <v>2</v>
      </c>
      <c r="AH24" s="2">
        <f t="shared" si="20"/>
        <v>6</v>
      </c>
      <c r="AI24" s="2">
        <f t="shared" si="20"/>
        <v>5</v>
      </c>
      <c r="AJ24" s="2">
        <f t="shared" si="20"/>
        <v>6</v>
      </c>
      <c r="AK24" s="2">
        <f t="shared" si="20"/>
        <v>0</v>
      </c>
    </row>
    <row r="25" spans="3:37" x14ac:dyDescent="0.25">
      <c r="E25" s="13"/>
      <c r="F25" s="10"/>
      <c r="G25" s="10"/>
      <c r="H25" s="6"/>
      <c r="I25" s="31" t="s">
        <v>19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8"/>
      <c r="T25" s="60" t="s">
        <v>111</v>
      </c>
      <c r="U25" s="51">
        <v>28</v>
      </c>
      <c r="V25" s="51" t="str">
        <f t="shared" si="2"/>
        <v>0x1C</v>
      </c>
      <c r="W25" s="52" t="str">
        <f>DEC2HEX(AI27,8)</f>
        <v>0000000D</v>
      </c>
      <c r="X25" s="51" t="str">
        <f t="shared" si="7"/>
        <v>0x1C00000D</v>
      </c>
      <c r="Y25" s="51">
        <f t="shared" si="1"/>
        <v>13</v>
      </c>
      <c r="Z25" s="51">
        <f t="shared" si="8"/>
        <v>11</v>
      </c>
      <c r="AB25" s="64"/>
      <c r="AC25" s="2">
        <v>8</v>
      </c>
      <c r="AD25" s="2">
        <f t="shared" ref="AD25:AK25" si="21">J25</f>
        <v>0</v>
      </c>
      <c r="AE25" s="2">
        <f t="shared" si="21"/>
        <v>0</v>
      </c>
      <c r="AF25" s="2">
        <f t="shared" si="21"/>
        <v>0</v>
      </c>
      <c r="AG25" s="2">
        <f t="shared" si="21"/>
        <v>0</v>
      </c>
      <c r="AH25" s="2">
        <f t="shared" si="21"/>
        <v>0</v>
      </c>
      <c r="AI25" s="2">
        <f t="shared" si="21"/>
        <v>0</v>
      </c>
      <c r="AJ25" s="2">
        <f t="shared" si="21"/>
        <v>0</v>
      </c>
      <c r="AK25" s="2">
        <f t="shared" si="21"/>
        <v>0</v>
      </c>
    </row>
    <row r="26" spans="3:37" x14ac:dyDescent="0.25">
      <c r="E26" s="13"/>
      <c r="F26" s="10"/>
      <c r="G26" s="10"/>
      <c r="H26" s="6"/>
      <c r="I26" s="10"/>
      <c r="J26" s="10"/>
      <c r="K26" s="6"/>
      <c r="L26" s="6"/>
      <c r="M26" s="6"/>
      <c r="N26" s="6"/>
      <c r="O26" s="6"/>
      <c r="P26" s="6"/>
      <c r="Q26" s="6"/>
      <c r="R26" s="8"/>
      <c r="T26" s="60"/>
      <c r="U26" s="51">
        <v>29</v>
      </c>
      <c r="V26" s="51" t="str">
        <f t="shared" si="2"/>
        <v>0x1D</v>
      </c>
      <c r="W26" s="51" t="str">
        <f ca="1">DEC2HEX(AI28,8)</f>
        <v>000A2905</v>
      </c>
      <c r="X26" s="51" t="str">
        <f t="shared" ca="1" si="7"/>
        <v>0x1D0A2905</v>
      </c>
      <c r="Y26" s="51">
        <f t="shared" ca="1" si="1"/>
        <v>38</v>
      </c>
      <c r="Z26" s="51">
        <f t="shared" ca="1" si="8"/>
        <v>43</v>
      </c>
    </row>
    <row r="27" spans="3:37" x14ac:dyDescent="0.25">
      <c r="E27" s="13"/>
      <c r="F27" s="10"/>
      <c r="G27" s="10"/>
      <c r="H27" s="6"/>
      <c r="I27" s="10"/>
      <c r="J27" s="10"/>
      <c r="K27" s="6"/>
      <c r="L27" s="6"/>
      <c r="M27" s="6"/>
      <c r="N27" s="6"/>
      <c r="O27" s="6"/>
      <c r="P27" s="6"/>
      <c r="Q27" s="6"/>
      <c r="R27" s="8"/>
      <c r="T27" s="60"/>
      <c r="U27" s="51">
        <v>30</v>
      </c>
      <c r="V27" s="51" t="str">
        <f t="shared" si="2"/>
        <v>0x1E</v>
      </c>
      <c r="W27" s="51" t="str">
        <f ca="1">DEC2HEX(AI29,8)</f>
        <v>00000481</v>
      </c>
      <c r="X27" s="51" t="str">
        <f t="shared" ca="1" si="7"/>
        <v>0x1E000481</v>
      </c>
      <c r="Y27" s="51">
        <f t="shared" ca="1" si="1"/>
        <v>133</v>
      </c>
      <c r="Z27" s="51">
        <f t="shared" ca="1" si="8"/>
        <v>163</v>
      </c>
      <c r="AB27" s="60" t="s">
        <v>99</v>
      </c>
      <c r="AC27" s="60"/>
      <c r="AD27" s="2">
        <f t="shared" ref="AD27:AK27" si="22">AD8*2^$AC8+AD9*2^$AC9+AD10*2^$AC10+AD11*2^$AC11+AD12*2^$AC12+AD13*2^$AC13</f>
        <v>531499</v>
      </c>
      <c r="AE27" s="2">
        <f t="shared" si="22"/>
        <v>531499</v>
      </c>
      <c r="AF27" s="2">
        <f t="shared" si="22"/>
        <v>9</v>
      </c>
      <c r="AG27" s="2">
        <f t="shared" si="22"/>
        <v>11</v>
      </c>
      <c r="AH27" s="2">
        <f t="shared" si="22"/>
        <v>11</v>
      </c>
      <c r="AI27" s="2">
        <f t="shared" si="22"/>
        <v>13</v>
      </c>
      <c r="AJ27" s="2">
        <f t="shared" si="22"/>
        <v>9</v>
      </c>
      <c r="AK27" s="2">
        <f t="shared" si="22"/>
        <v>9</v>
      </c>
    </row>
    <row r="28" spans="3:37" x14ac:dyDescent="0.25">
      <c r="E28" s="13"/>
      <c r="F28" s="10"/>
      <c r="G28" s="10"/>
      <c r="H28" s="6"/>
      <c r="I28" s="10"/>
      <c r="J28" s="10"/>
      <c r="K28" s="6"/>
      <c r="L28" s="6"/>
      <c r="M28" s="6"/>
      <c r="N28" s="6"/>
      <c r="O28" s="6"/>
      <c r="P28" s="6"/>
      <c r="Q28" s="6"/>
      <c r="R28" s="8"/>
      <c r="T28" s="60"/>
      <c r="U28" s="51">
        <v>31</v>
      </c>
      <c r="V28" s="51" t="str">
        <f t="shared" si="2"/>
        <v>0x1F</v>
      </c>
      <c r="W28" s="51" t="str">
        <f>DEC2HEX(AI30,8)</f>
        <v>00000005</v>
      </c>
      <c r="X28" s="51" t="str">
        <f t="shared" si="7"/>
        <v>0x1F000005</v>
      </c>
      <c r="Y28" s="51">
        <f t="shared" si="1"/>
        <v>5</v>
      </c>
      <c r="Z28" s="51">
        <f t="shared" ca="1" si="8"/>
        <v>128</v>
      </c>
      <c r="AB28" s="60" t="s">
        <v>100</v>
      </c>
      <c r="AC28" s="60"/>
      <c r="AD28" s="2">
        <f t="shared" ref="AD28:AK28" ca="1" si="23">AD14*2^$AC14+AD15*2^$AC15+AD16*2^$AC16+AD17*2^$AC17+AD18*2^$AC18+AD19*2^$AC19</f>
        <v>14537</v>
      </c>
      <c r="AE28" s="2">
        <f t="shared" ca="1" si="23"/>
        <v>268294</v>
      </c>
      <c r="AF28" s="2">
        <f t="shared" ca="1" si="23"/>
        <v>338727</v>
      </c>
      <c r="AG28" s="2">
        <f t="shared" ca="1" si="23"/>
        <v>534095</v>
      </c>
      <c r="AH28" s="2">
        <f t="shared" ca="1" si="23"/>
        <v>601019</v>
      </c>
      <c r="AI28" s="2">
        <f t="shared" ca="1" si="23"/>
        <v>665861</v>
      </c>
      <c r="AJ28" s="2">
        <f t="shared" ca="1" si="23"/>
        <v>600665</v>
      </c>
      <c r="AK28" s="2">
        <f t="shared" ca="1" si="23"/>
        <v>797417</v>
      </c>
    </row>
    <row r="29" spans="3:37" ht="15.75" thickBot="1" x14ac:dyDescent="0.3">
      <c r="E29" s="16"/>
      <c r="F29" s="12"/>
      <c r="G29" s="21"/>
      <c r="H29" s="11"/>
      <c r="I29" s="12"/>
      <c r="J29" s="12"/>
      <c r="K29" s="11"/>
      <c r="L29" s="11"/>
      <c r="M29" s="11"/>
      <c r="N29" s="11"/>
      <c r="O29" s="11"/>
      <c r="P29" s="11"/>
      <c r="Q29" s="11"/>
      <c r="R29" s="9"/>
      <c r="T29" s="60" t="s">
        <v>112</v>
      </c>
      <c r="U29" s="51">
        <v>32</v>
      </c>
      <c r="V29" s="51" t="str">
        <f t="shared" si="2"/>
        <v>0x20</v>
      </c>
      <c r="W29" s="52" t="str">
        <f>DEC2HEX(AJ27,8)</f>
        <v>00000009</v>
      </c>
      <c r="X29" s="51" t="str">
        <f t="shared" si="7"/>
        <v>0x20000009</v>
      </c>
      <c r="Y29" s="51">
        <f t="shared" si="1"/>
        <v>9</v>
      </c>
      <c r="Z29" s="51">
        <f t="shared" si="8"/>
        <v>12</v>
      </c>
      <c r="AB29" s="60" t="s">
        <v>101</v>
      </c>
      <c r="AC29" s="60"/>
      <c r="AD29" s="2">
        <f t="shared" ref="AD29:AK29" ca="1" si="24">AD20*2^$AC20+AD21*2^$AC21+AD22*2^$AC22+AD23*2^$AC23</f>
        <v>2329</v>
      </c>
      <c r="AE29" s="2">
        <f t="shared" ca="1" si="24"/>
        <v>2177</v>
      </c>
      <c r="AF29" s="2">
        <f t="shared" ca="1" si="24"/>
        <v>1153</v>
      </c>
      <c r="AG29" s="2">
        <f t="shared" ca="1" si="24"/>
        <v>1161</v>
      </c>
      <c r="AH29" s="2">
        <f t="shared" ca="1" si="24"/>
        <v>1153</v>
      </c>
      <c r="AI29" s="2">
        <f t="shared" ca="1" si="24"/>
        <v>1153</v>
      </c>
      <c r="AJ29" s="2">
        <f t="shared" ca="1" si="24"/>
        <v>1153</v>
      </c>
      <c r="AK29" s="2">
        <f t="shared" ca="1" si="24"/>
        <v>1153</v>
      </c>
    </row>
    <row r="30" spans="3:37" x14ac:dyDescent="0.25">
      <c r="E30" s="67"/>
      <c r="F30" s="68"/>
      <c r="G30" s="17"/>
      <c r="H30" s="18"/>
      <c r="I30" s="17"/>
      <c r="J30" s="17"/>
      <c r="K30" s="18"/>
      <c r="L30" s="18"/>
      <c r="M30" s="18"/>
      <c r="N30" s="18"/>
      <c r="O30" s="18"/>
      <c r="P30" s="18"/>
      <c r="Q30" s="18"/>
      <c r="R30" s="19"/>
      <c r="T30" s="60"/>
      <c r="U30" s="51">
        <v>33</v>
      </c>
      <c r="V30" s="51" t="str">
        <f t="shared" si="2"/>
        <v>0x21</v>
      </c>
      <c r="W30" s="51" t="str">
        <f ca="1">DEC2HEX(AJ28,8)</f>
        <v>00092A59</v>
      </c>
      <c r="X30" s="51" t="str">
        <f t="shared" ca="1" si="7"/>
        <v>0x21092A59</v>
      </c>
      <c r="Y30" s="51">
        <f t="shared" ca="1" si="1"/>
        <v>122</v>
      </c>
      <c r="Z30" s="51">
        <f t="shared" ca="1" si="8"/>
        <v>115</v>
      </c>
      <c r="AB30" s="60" t="s">
        <v>102</v>
      </c>
      <c r="AC30" s="60"/>
      <c r="AD30" s="2">
        <f t="shared" ref="AD30:AK30" si="25">AD24*2^$AC24+AD25*2^$AC25</f>
        <v>1</v>
      </c>
      <c r="AE30" s="2">
        <f t="shared" si="25"/>
        <v>1</v>
      </c>
      <c r="AF30" s="2">
        <f t="shared" si="25"/>
        <v>4</v>
      </c>
      <c r="AG30" s="2">
        <f t="shared" si="25"/>
        <v>2</v>
      </c>
      <c r="AH30" s="2">
        <f t="shared" si="25"/>
        <v>6</v>
      </c>
      <c r="AI30" s="2">
        <f t="shared" si="25"/>
        <v>5</v>
      </c>
      <c r="AJ30" s="2">
        <f t="shared" si="25"/>
        <v>6</v>
      </c>
      <c r="AK30" s="2">
        <f t="shared" si="25"/>
        <v>0</v>
      </c>
    </row>
    <row r="31" spans="3:37" x14ac:dyDescent="0.25">
      <c r="E31" s="13"/>
      <c r="F31" s="10"/>
      <c r="G31" s="10"/>
      <c r="H31" s="6"/>
      <c r="I31" s="10"/>
      <c r="J31" s="10"/>
      <c r="K31" s="6"/>
      <c r="L31" s="6"/>
      <c r="M31" s="6"/>
      <c r="N31" s="6"/>
      <c r="O31" s="6"/>
      <c r="P31" s="6"/>
      <c r="Q31" s="6"/>
      <c r="R31" s="8"/>
      <c r="T31" s="60"/>
      <c r="U31" s="51">
        <v>34</v>
      </c>
      <c r="V31" s="51" t="str">
        <f t="shared" si="2"/>
        <v>0x22</v>
      </c>
      <c r="W31" s="51" t="str">
        <f ca="1">DEC2HEX(AJ29,8)</f>
        <v>00000481</v>
      </c>
      <c r="X31" s="51" t="str">
        <f t="shared" ca="1" si="7"/>
        <v>0x22000481</v>
      </c>
      <c r="Y31" s="51">
        <f t="shared" ca="1" si="1"/>
        <v>133</v>
      </c>
      <c r="Z31" s="51">
        <f t="shared" ca="1" si="8"/>
        <v>255</v>
      </c>
    </row>
    <row r="32" spans="3:37" x14ac:dyDescent="0.25">
      <c r="E32" s="13"/>
      <c r="F32" s="10"/>
      <c r="G32" s="10"/>
      <c r="H32" s="6"/>
      <c r="I32" s="10"/>
      <c r="J32" s="10"/>
      <c r="K32" s="6"/>
      <c r="L32" s="6"/>
      <c r="M32" s="6"/>
      <c r="N32" s="6"/>
      <c r="O32" s="6"/>
      <c r="P32" s="6"/>
      <c r="Q32" s="6"/>
      <c r="R32" s="8"/>
      <c r="T32" s="60"/>
      <c r="U32" s="51">
        <v>35</v>
      </c>
      <c r="V32" s="51" t="str">
        <f t="shared" si="2"/>
        <v>0x23</v>
      </c>
      <c r="W32" s="51" t="str">
        <f>DEC2HEX(AJ30,8)</f>
        <v>00000006</v>
      </c>
      <c r="X32" s="51" t="str">
        <f t="shared" si="7"/>
        <v>0x23000006</v>
      </c>
      <c r="Y32" s="51">
        <f t="shared" si="1"/>
        <v>6</v>
      </c>
      <c r="Z32" s="51">
        <f t="shared" ca="1" si="8"/>
        <v>131</v>
      </c>
    </row>
    <row r="33" spans="5:26" x14ac:dyDescent="0.25">
      <c r="E33" s="13"/>
      <c r="F33" s="10"/>
      <c r="G33" s="10"/>
      <c r="H33" s="6"/>
      <c r="I33" s="10"/>
      <c r="J33" s="10"/>
      <c r="K33" s="6"/>
      <c r="L33" s="6"/>
      <c r="M33" s="6"/>
      <c r="N33" s="6"/>
      <c r="O33" s="6"/>
      <c r="P33" s="6" t="s">
        <v>47</v>
      </c>
      <c r="Q33" s="10" t="s">
        <v>40</v>
      </c>
      <c r="R33" s="8"/>
      <c r="T33" s="60" t="s">
        <v>113</v>
      </c>
      <c r="U33" s="51">
        <v>36</v>
      </c>
      <c r="V33" s="51" t="str">
        <f t="shared" si="2"/>
        <v>0x24</v>
      </c>
      <c r="W33" s="52" t="str">
        <f>DEC2HEX(AK27,8)</f>
        <v>00000009</v>
      </c>
      <c r="X33" s="51" t="str">
        <f t="shared" si="7"/>
        <v>0x24000009</v>
      </c>
      <c r="Y33" s="51">
        <f t="shared" si="1"/>
        <v>9</v>
      </c>
      <c r="Z33" s="51">
        <f t="shared" si="8"/>
        <v>15</v>
      </c>
    </row>
    <row r="34" spans="5:26" ht="15.75" thickBot="1" x14ac:dyDescent="0.3">
      <c r="E34" s="16"/>
      <c r="F34" s="12"/>
      <c r="G34" s="12"/>
      <c r="H34" s="11"/>
      <c r="I34" s="12"/>
      <c r="J34" s="12"/>
      <c r="K34" s="11"/>
      <c r="L34" s="11"/>
      <c r="M34" s="11"/>
      <c r="N34" s="11"/>
      <c r="O34" s="11"/>
      <c r="P34" s="11"/>
      <c r="Q34" s="11"/>
      <c r="R34" s="9"/>
      <c r="T34" s="60"/>
      <c r="U34" s="51">
        <v>37</v>
      </c>
      <c r="V34" s="51" t="str">
        <f t="shared" si="2"/>
        <v>0x25</v>
      </c>
      <c r="W34" s="51" t="str">
        <f ca="1">DEC2HEX(AK28,8)</f>
        <v>000C2AE9</v>
      </c>
      <c r="X34" s="51" t="str">
        <f t="shared" ca="1" si="7"/>
        <v>0x250C2AE9</v>
      </c>
      <c r="Y34" s="51">
        <f t="shared" ca="1" si="1"/>
        <v>207</v>
      </c>
      <c r="Z34" s="51">
        <f t="shared" ca="1" si="8"/>
        <v>198</v>
      </c>
    </row>
    <row r="35" spans="5:26" x14ac:dyDescent="0.25">
      <c r="E35" s="67" t="s">
        <v>48</v>
      </c>
      <c r="F35" s="68"/>
      <c r="G35" s="68"/>
      <c r="H35" s="18"/>
      <c r="I35" s="17"/>
      <c r="J35" s="17"/>
      <c r="K35" s="18"/>
      <c r="L35" s="18"/>
      <c r="M35" s="18"/>
      <c r="N35" s="18"/>
      <c r="O35" s="18"/>
      <c r="P35" s="18"/>
      <c r="Q35" s="18"/>
      <c r="R35" s="19"/>
      <c r="T35" s="60"/>
      <c r="U35" s="51">
        <v>38</v>
      </c>
      <c r="V35" s="51" t="str">
        <f t="shared" si="2"/>
        <v>0x26</v>
      </c>
      <c r="W35" s="51" t="str">
        <f ca="1">DEC2HEX(AK29,8)</f>
        <v>00000481</v>
      </c>
      <c r="X35" s="51" t="str">
        <f t="shared" ca="1" si="7"/>
        <v>0x26000481</v>
      </c>
      <c r="Y35" s="51">
        <f t="shared" ca="1" si="1"/>
        <v>133</v>
      </c>
      <c r="Z35" s="51">
        <f t="shared" ca="1" si="8"/>
        <v>74</v>
      </c>
    </row>
    <row r="36" spans="5:26" x14ac:dyDescent="0.25">
      <c r="E36" s="13"/>
      <c r="F36" s="10"/>
      <c r="G36" s="10"/>
      <c r="H36" s="6"/>
      <c r="I36" s="10"/>
      <c r="J36" s="10"/>
      <c r="K36" s="6"/>
      <c r="L36" s="6"/>
      <c r="M36" s="6"/>
      <c r="N36" s="6"/>
      <c r="O36" s="6"/>
      <c r="P36" s="6"/>
      <c r="Q36" s="6"/>
      <c r="R36" s="8"/>
      <c r="T36" s="60"/>
      <c r="U36" s="51">
        <v>39</v>
      </c>
      <c r="V36" s="51" t="str">
        <f t="shared" si="2"/>
        <v>0x27</v>
      </c>
      <c r="W36" s="51" t="str">
        <f>DEC2HEX(AK30,8)</f>
        <v>00000000</v>
      </c>
      <c r="X36" s="51" t="str">
        <f t="shared" si="7"/>
        <v>0x27000000</v>
      </c>
      <c r="Y36" s="51">
        <f t="shared" si="1"/>
        <v>0</v>
      </c>
      <c r="Z36" s="83">
        <f ca="1">_xlfn.BITXOR(Y35,Y36)</f>
        <v>133</v>
      </c>
    </row>
    <row r="37" spans="5:26" x14ac:dyDescent="0.25">
      <c r="E37" s="13"/>
      <c r="F37" s="10"/>
      <c r="G37" s="15" t="s">
        <v>41</v>
      </c>
      <c r="H37" s="7" t="s">
        <v>42</v>
      </c>
      <c r="I37" s="10"/>
      <c r="J37" s="10"/>
      <c r="K37" s="15" t="s">
        <v>41</v>
      </c>
      <c r="L37" s="20" t="s">
        <v>44</v>
      </c>
      <c r="M37" s="6"/>
      <c r="N37" s="6"/>
      <c r="O37" s="6"/>
      <c r="P37" s="6"/>
      <c r="Q37" s="6"/>
      <c r="R37" s="8"/>
      <c r="T37" s="56" t="s">
        <v>97</v>
      </c>
      <c r="U37" s="51">
        <v>40</v>
      </c>
      <c r="V37" s="51" t="str">
        <f t="shared" si="2"/>
        <v>0x28</v>
      </c>
      <c r="W37" s="51" t="str">
        <f ca="1">DEC2HEX(Z36,8)</f>
        <v>00000085</v>
      </c>
      <c r="X37" s="51" t="str">
        <f t="shared" ca="1" si="7"/>
        <v>0x28000085</v>
      </c>
      <c r="Y37" s="51">
        <f t="shared" ca="1" si="1"/>
        <v>133</v>
      </c>
      <c r="Z37" s="51"/>
    </row>
    <row r="38" spans="5:26" x14ac:dyDescent="0.25">
      <c r="E38" s="13"/>
      <c r="F38" s="10"/>
      <c r="G38" s="14">
        <v>0</v>
      </c>
      <c r="H38" s="7" t="s">
        <v>43</v>
      </c>
      <c r="I38" s="6"/>
      <c r="J38" s="6"/>
      <c r="K38" s="14">
        <v>2</v>
      </c>
      <c r="L38" s="14" t="s">
        <v>45</v>
      </c>
      <c r="M38" s="6"/>
      <c r="N38" s="6"/>
      <c r="O38" s="6"/>
      <c r="P38" s="6"/>
      <c r="Q38" s="6"/>
      <c r="R38" s="8"/>
    </row>
    <row r="39" spans="5:26" ht="15.75" thickBot="1" x14ac:dyDescent="0.3">
      <c r="E39" s="16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9"/>
    </row>
  </sheetData>
  <mergeCells count="24">
    <mergeCell ref="E4:R4"/>
    <mergeCell ref="I6:Q6"/>
    <mergeCell ref="F7:G7"/>
    <mergeCell ref="T25:T28"/>
    <mergeCell ref="T29:T32"/>
    <mergeCell ref="T33:T36"/>
    <mergeCell ref="C6:D6"/>
    <mergeCell ref="C16:D16"/>
    <mergeCell ref="T5:T8"/>
    <mergeCell ref="T9:T12"/>
    <mergeCell ref="T13:T16"/>
    <mergeCell ref="T17:T20"/>
    <mergeCell ref="T21:T24"/>
    <mergeCell ref="E30:F30"/>
    <mergeCell ref="E35:G35"/>
    <mergeCell ref="F17:G17"/>
    <mergeCell ref="AB28:AC28"/>
    <mergeCell ref="AB29:AC29"/>
    <mergeCell ref="AB30:AC30"/>
    <mergeCell ref="AB8:AB13"/>
    <mergeCell ref="AB14:AB19"/>
    <mergeCell ref="AB20:AB23"/>
    <mergeCell ref="AB24:AB25"/>
    <mergeCell ref="AB27:AC27"/>
  </mergeCells>
  <dataValidations count="19">
    <dataValidation type="list" allowBlank="1" showInputMessage="1" showErrorMessage="1" sqref="J8:Q8" xr:uid="{58ED200F-81A6-414B-9D6E-12786A48A800}">
      <formula1>RFISRC</formula1>
    </dataValidation>
    <dataValidation type="list" allowBlank="1" showInputMessage="1" showErrorMessage="1" sqref="J11:Q13" xr:uid="{9FEB9391-4218-4E31-8BEB-36148B2AED44}">
      <formula1>DCA</formula1>
    </dataValidation>
    <dataValidation type="list" allowBlank="1" showInputMessage="1" showErrorMessage="1" sqref="J24:Q24" xr:uid="{A0598D06-040A-42CD-9B97-EB7E4A3AF02C}">
      <formula1>LO_FREQ</formula1>
    </dataValidation>
    <dataValidation type="list" allowBlank="1" showInputMessage="1" showErrorMessage="1" sqref="J22:Q22" xr:uid="{91478DF7-1ADD-48B3-B614-F0AF0A6594B7}">
      <formula1>TF2_LPF_SW</formula1>
    </dataValidation>
    <dataValidation type="list" allowBlank="1" showInputMessage="1" showErrorMessage="1" sqref="J21:Q21 J23:Q23" xr:uid="{6D3E80DF-42D1-4173-B382-C73907B4EEEE}">
      <formula1>INDIRECT(J20)</formula1>
    </dataValidation>
    <dataValidation type="list" allowBlank="1" showInputMessage="1" showErrorMessage="1" sqref="J20:Q20" xr:uid="{8AEA6072-20E3-4B63-BCE7-097D1B8B1A35}">
      <formula1>TF2_HPF_SW</formula1>
    </dataValidation>
    <dataValidation type="list" allowBlank="1" showInputMessage="1" showErrorMessage="1" sqref="J10:Q10" xr:uid="{07E45209-88FB-4ACA-9A63-75422C0798A1}">
      <formula1>IFOBS</formula1>
    </dataValidation>
    <dataValidation type="list" allowBlank="1" showInputMessage="1" showErrorMessage="1" sqref="J9:Q9" xr:uid="{EA4CD5C8-F416-41E5-906D-83943D139EB9}">
      <formula1>RFIBS</formula1>
    </dataValidation>
    <dataValidation type="list" allowBlank="1" showInputMessage="1" showErrorMessage="1" sqref="J15:Q15 J18:Q18" xr:uid="{7E4D427C-D953-4612-A230-A47CA4D6C267}">
      <formula1>INDIRECT(J14&amp;"_H")</formula1>
    </dataValidation>
    <dataValidation type="list" allowBlank="1" showInputMessage="1" showErrorMessage="1" sqref="J16:Q16 J19:Q19" xr:uid="{36390E13-443B-4287-8763-992F498B2D4E}">
      <formula1>INDIRECT(J14&amp;"_L")</formula1>
    </dataValidation>
    <dataValidation type="list" allowBlank="1" showInputMessage="1" showErrorMessage="1" sqref="J14:Q14 J17:Q17" xr:uid="{6B2B259E-8A53-4FBD-AB43-2195B599D554}">
      <formula1>MainBand</formula1>
    </dataValidation>
    <dataValidation type="list" allowBlank="1" showInputMessage="1" showErrorMessage="1" sqref="J25:Q25" xr:uid="{716018E9-0B46-47F8-9A6D-D5BB9F676EE1}">
      <formula1>"0,1"</formula1>
    </dataValidation>
    <dataValidation type="list" allowBlank="1" showInputMessage="1" showErrorMessage="1" sqref="G21" xr:uid="{EA0ED50E-1521-4700-927B-318D7BAC31E9}">
      <formula1>Pls_CW</formula1>
    </dataValidation>
    <dataValidation type="list" allowBlank="1" showInputMessage="1" showErrorMessage="1" sqref="G20" xr:uid="{8E02F566-A506-4284-96F0-AFAE4EF9041E}">
      <formula1>BIT_INT_EXT</formula1>
    </dataValidation>
    <dataValidation type="list" allowBlank="1" showInputMessage="1" showErrorMessage="1" sqref="G8" xr:uid="{F8BEC763-4083-44EB-84D6-7E17745AFA99}">
      <formula1>OpMode</formula1>
    </dataValidation>
    <dataValidation type="list" allowBlank="1" showInputMessage="1" showErrorMessage="1" sqref="G19" xr:uid="{7635B3C6-92EB-4862-AD0B-51C4A4254924}">
      <formula1>BIT_OUT_PWR</formula1>
    </dataValidation>
    <dataValidation type="list" allowBlank="1" showInputMessage="1" showErrorMessage="1" sqref="G18" xr:uid="{2F163C71-0122-4953-9B77-EEE0D6179D2E}">
      <formula1>BIT_LO_FREQ</formula1>
    </dataValidation>
    <dataValidation type="whole" allowBlank="1" showInputMessage="1" showErrorMessage="1" sqref="G9" xr:uid="{128CD636-E723-4213-908B-4E8587211284}">
      <formula1>1</formula1>
      <formula2>63</formula2>
    </dataValidation>
    <dataValidation type="whole" allowBlank="1" showInputMessage="1" showErrorMessage="1" sqref="G10" xr:uid="{BEABB222-9253-481C-9740-F6A9D782B4E9}">
      <formula1>G9*2</formula1>
      <formula2>4095</formula2>
    </dataValidation>
  </dataValidations>
  <pageMargins left="0.7" right="0.7" top="0.75" bottom="0.75" header="0.3" footer="0.3"/>
  <ignoredErrors>
    <ignoredError sqref="AD22:AF2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45C8-7140-4786-8E03-7C126FE8C07F}">
  <sheetPr codeName="Sheet3"/>
  <dimension ref="E2:R33"/>
  <sheetViews>
    <sheetView zoomScale="70" zoomScaleNormal="70" workbookViewId="0">
      <selection activeCell="J15" sqref="J15"/>
    </sheetView>
  </sheetViews>
  <sheetFormatPr defaultRowHeight="15" x14ac:dyDescent="0.25"/>
  <cols>
    <col min="5" max="5" width="11.42578125" customWidth="1"/>
    <col min="6" max="6" width="23.5703125" style="1" customWidth="1"/>
    <col min="7" max="7" width="20.7109375" style="1" customWidth="1"/>
    <col min="8" max="8" width="11.42578125" style="1" customWidth="1"/>
    <col min="9" max="9" width="18.7109375" style="1" customWidth="1"/>
    <col min="10" max="10" width="16.7109375" style="1" customWidth="1"/>
    <col min="11" max="19" width="16.7109375" customWidth="1"/>
  </cols>
  <sheetData>
    <row r="2" spans="5:18" ht="15.75" thickBot="1" x14ac:dyDescent="0.3"/>
    <row r="3" spans="5:18" ht="18.75" x14ac:dyDescent="0.3">
      <c r="E3" s="70" t="s">
        <v>54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2"/>
    </row>
    <row r="4" spans="5:18" x14ac:dyDescent="0.25">
      <c r="E4" s="13"/>
      <c r="F4" s="10"/>
      <c r="G4" s="10"/>
      <c r="H4" s="10"/>
      <c r="I4" s="10"/>
      <c r="J4" s="10"/>
      <c r="K4" s="6"/>
      <c r="L4" s="6"/>
      <c r="M4" s="6"/>
      <c r="N4" s="6"/>
      <c r="O4" s="6"/>
      <c r="P4" s="6"/>
      <c r="Q4" s="6"/>
      <c r="R4" s="8"/>
    </row>
    <row r="5" spans="5:18" ht="18.75" x14ac:dyDescent="0.25">
      <c r="E5" s="13"/>
      <c r="F5" s="10"/>
      <c r="G5" s="10"/>
      <c r="H5" s="10"/>
      <c r="I5" s="73" t="s">
        <v>36</v>
      </c>
      <c r="J5" s="74"/>
      <c r="K5" s="74"/>
      <c r="L5" s="74"/>
      <c r="M5" s="74"/>
      <c r="N5" s="74"/>
      <c r="O5" s="74"/>
      <c r="P5" s="74"/>
      <c r="Q5" s="75"/>
      <c r="R5" s="33"/>
    </row>
    <row r="6" spans="5:18" x14ac:dyDescent="0.25">
      <c r="E6" s="13"/>
      <c r="F6" s="76" t="s">
        <v>29</v>
      </c>
      <c r="G6" s="76"/>
      <c r="H6" s="10"/>
      <c r="I6" s="14"/>
      <c r="J6" s="15">
        <v>1</v>
      </c>
      <c r="K6" s="15">
        <v>2</v>
      </c>
      <c r="L6" s="15">
        <v>3</v>
      </c>
      <c r="M6" s="15">
        <v>4</v>
      </c>
      <c r="N6" s="15">
        <v>5</v>
      </c>
      <c r="O6" s="15">
        <v>6</v>
      </c>
      <c r="P6" s="15">
        <v>7</v>
      </c>
      <c r="Q6" s="15">
        <v>8</v>
      </c>
      <c r="R6" s="33"/>
    </row>
    <row r="7" spans="5:18" x14ac:dyDescent="0.25">
      <c r="E7" s="13"/>
      <c r="F7" s="15" t="s">
        <v>37</v>
      </c>
      <c r="G7" s="14" t="s">
        <v>38</v>
      </c>
      <c r="H7" s="10"/>
      <c r="I7" s="29" t="s">
        <v>18</v>
      </c>
      <c r="J7" s="30" t="s">
        <v>7</v>
      </c>
      <c r="K7" s="30" t="s">
        <v>7</v>
      </c>
      <c r="L7" s="30" t="s">
        <v>7</v>
      </c>
      <c r="M7" s="30" t="s">
        <v>7</v>
      </c>
      <c r="N7" s="30" t="s">
        <v>7</v>
      </c>
      <c r="O7" s="30" t="s">
        <v>7</v>
      </c>
      <c r="P7" s="30" t="s">
        <v>7</v>
      </c>
      <c r="Q7" s="30" t="s">
        <v>7</v>
      </c>
      <c r="R7" s="33"/>
    </row>
    <row r="8" spans="5:18" x14ac:dyDescent="0.25">
      <c r="E8" s="13"/>
      <c r="F8" s="15" t="s">
        <v>30</v>
      </c>
      <c r="G8" s="14">
        <v>1000</v>
      </c>
      <c r="H8" s="10"/>
      <c r="I8" s="29" t="s">
        <v>8</v>
      </c>
      <c r="J8" s="3" t="s">
        <v>5</v>
      </c>
      <c r="K8" s="3" t="s">
        <v>5</v>
      </c>
      <c r="L8" s="3" t="s">
        <v>5</v>
      </c>
      <c r="M8" s="3" t="s">
        <v>3</v>
      </c>
      <c r="N8" s="3" t="s">
        <v>3</v>
      </c>
      <c r="O8" s="3" t="s">
        <v>4</v>
      </c>
      <c r="P8" s="3" t="s">
        <v>5</v>
      </c>
      <c r="Q8" s="3" t="s">
        <v>5</v>
      </c>
      <c r="R8" s="33"/>
    </row>
    <row r="9" spans="5:18" x14ac:dyDescent="0.25">
      <c r="E9" s="13"/>
      <c r="F9" s="15" t="s">
        <v>31</v>
      </c>
      <c r="G9" s="14">
        <v>10</v>
      </c>
      <c r="H9" s="10"/>
      <c r="I9" s="29" t="s">
        <v>9</v>
      </c>
      <c r="J9" s="3" t="s">
        <v>5</v>
      </c>
      <c r="K9" s="3" t="s">
        <v>5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3"/>
    </row>
    <row r="10" spans="5:18" x14ac:dyDescent="0.25">
      <c r="E10" s="13"/>
      <c r="F10" s="25"/>
      <c r="G10" s="10"/>
      <c r="H10" s="10"/>
      <c r="I10" s="31" t="s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4" t="s">
        <v>79</v>
      </c>
    </row>
    <row r="11" spans="5:18" x14ac:dyDescent="0.25">
      <c r="E11" s="13"/>
      <c r="F11" s="25"/>
      <c r="G11" s="10"/>
      <c r="H11" s="10"/>
      <c r="I11" s="31" t="s">
        <v>1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4" t="s">
        <v>4</v>
      </c>
    </row>
    <row r="12" spans="5:18" x14ac:dyDescent="0.25">
      <c r="E12" s="13"/>
      <c r="F12" s="10"/>
      <c r="G12" s="10"/>
      <c r="H12" s="10"/>
      <c r="I12" s="31" t="s">
        <v>26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4"/>
    </row>
    <row r="13" spans="5:18" x14ac:dyDescent="0.25">
      <c r="E13" s="13"/>
      <c r="F13" s="10"/>
      <c r="G13" s="10"/>
      <c r="H13" s="10"/>
      <c r="I13" s="29" t="s">
        <v>10</v>
      </c>
      <c r="J13" s="3" t="s">
        <v>63</v>
      </c>
      <c r="K13" s="3" t="s">
        <v>63</v>
      </c>
      <c r="L13" s="3" t="s">
        <v>64</v>
      </c>
      <c r="M13" s="3" t="s">
        <v>64</v>
      </c>
      <c r="N13" s="3" t="s">
        <v>64</v>
      </c>
      <c r="O13" s="3" t="s">
        <v>62</v>
      </c>
      <c r="P13" s="3" t="s">
        <v>62</v>
      </c>
      <c r="Q13" s="3" t="s">
        <v>62</v>
      </c>
      <c r="R13" s="82" t="s">
        <v>79</v>
      </c>
    </row>
    <row r="14" spans="5:18" x14ac:dyDescent="0.25">
      <c r="E14" s="13"/>
      <c r="F14" s="10"/>
      <c r="G14" s="10"/>
      <c r="H14" s="10"/>
      <c r="I14" s="29" t="s">
        <v>12</v>
      </c>
      <c r="J14" s="3">
        <v>0.4</v>
      </c>
      <c r="K14" s="3">
        <v>0.93</v>
      </c>
      <c r="L14" s="3">
        <v>2.7</v>
      </c>
      <c r="M14" s="3">
        <v>2</v>
      </c>
      <c r="N14" s="3">
        <v>3.75</v>
      </c>
      <c r="O14" s="3">
        <v>0.93</v>
      </c>
      <c r="P14" s="3">
        <v>0.93</v>
      </c>
      <c r="Q14" s="3">
        <v>0.93</v>
      </c>
      <c r="R14" s="82"/>
    </row>
    <row r="15" spans="5:18" x14ac:dyDescent="0.25">
      <c r="E15" s="13"/>
      <c r="F15" s="10"/>
      <c r="G15" s="10"/>
      <c r="H15" s="10"/>
      <c r="I15" s="29" t="s">
        <v>11</v>
      </c>
      <c r="J15" s="3">
        <v>1.3</v>
      </c>
      <c r="K15" s="3">
        <v>2.6</v>
      </c>
      <c r="L15" s="3">
        <v>4.75</v>
      </c>
      <c r="M15" s="3">
        <v>4.0999999999999996</v>
      </c>
      <c r="N15" s="3">
        <v>6</v>
      </c>
      <c r="O15" s="3">
        <v>1.6</v>
      </c>
      <c r="P15" s="3">
        <v>1.6</v>
      </c>
      <c r="Q15" s="3">
        <v>1.6</v>
      </c>
      <c r="R15" s="82"/>
    </row>
    <row r="16" spans="5:18" x14ac:dyDescent="0.25">
      <c r="E16" s="13"/>
      <c r="F16" s="76" t="s">
        <v>35</v>
      </c>
      <c r="G16" s="76"/>
      <c r="H16" s="10"/>
      <c r="I16" s="31" t="s">
        <v>15</v>
      </c>
      <c r="J16" s="32" t="s">
        <v>62</v>
      </c>
      <c r="K16" s="32" t="s">
        <v>62</v>
      </c>
      <c r="L16" s="32" t="s">
        <v>63</v>
      </c>
      <c r="M16" s="32" t="s">
        <v>63</v>
      </c>
      <c r="N16" s="32" t="s">
        <v>63</v>
      </c>
      <c r="O16" s="32" t="s">
        <v>63</v>
      </c>
      <c r="P16" s="32" t="s">
        <v>63</v>
      </c>
      <c r="Q16" s="32" t="s">
        <v>63</v>
      </c>
      <c r="R16" s="33"/>
    </row>
    <row r="17" spans="5:18" x14ac:dyDescent="0.25">
      <c r="E17" s="13"/>
      <c r="F17" s="15" t="s">
        <v>39</v>
      </c>
      <c r="G17" s="14">
        <v>10333</v>
      </c>
      <c r="H17" s="10"/>
      <c r="I17" s="31" t="s">
        <v>13</v>
      </c>
      <c r="J17" s="32">
        <v>1.93</v>
      </c>
      <c r="K17" s="32">
        <v>0.95</v>
      </c>
      <c r="L17" s="32">
        <v>0.95</v>
      </c>
      <c r="M17" s="32">
        <v>0.95</v>
      </c>
      <c r="N17" s="32">
        <v>0.95</v>
      </c>
      <c r="O17" s="32">
        <v>0.95</v>
      </c>
      <c r="P17" s="32">
        <v>0.95</v>
      </c>
      <c r="Q17" s="32">
        <v>0.95</v>
      </c>
      <c r="R17" s="33"/>
    </row>
    <row r="18" spans="5:18" x14ac:dyDescent="0.25">
      <c r="E18" s="13"/>
      <c r="F18" s="15" t="s">
        <v>28</v>
      </c>
      <c r="G18" s="14">
        <v>-30</v>
      </c>
      <c r="H18" s="10"/>
      <c r="I18" s="31" t="s">
        <v>14</v>
      </c>
      <c r="J18" s="32">
        <v>1.52</v>
      </c>
      <c r="K18" s="32">
        <v>1.6</v>
      </c>
      <c r="L18" s="32">
        <v>2</v>
      </c>
      <c r="M18" s="32">
        <v>2</v>
      </c>
      <c r="N18" s="32">
        <v>2</v>
      </c>
      <c r="O18" s="32">
        <v>2</v>
      </c>
      <c r="P18" s="32">
        <v>2</v>
      </c>
      <c r="Q18" s="32">
        <v>2</v>
      </c>
      <c r="R18" s="33"/>
    </row>
    <row r="19" spans="5:18" x14ac:dyDescent="0.25">
      <c r="E19" s="13"/>
      <c r="F19" s="15" t="s">
        <v>32</v>
      </c>
      <c r="G19" s="14" t="s">
        <v>34</v>
      </c>
      <c r="H19" s="10"/>
      <c r="I19" s="29" t="s">
        <v>22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 t="s">
        <v>70</v>
      </c>
      <c r="P19" s="3" t="s">
        <v>70</v>
      </c>
      <c r="Q19" s="3" t="s">
        <v>70</v>
      </c>
      <c r="R19" s="82" t="s">
        <v>4</v>
      </c>
    </row>
    <row r="20" spans="5:18" x14ac:dyDescent="0.25">
      <c r="E20" s="13"/>
      <c r="F20" s="15" t="s">
        <v>24</v>
      </c>
      <c r="G20" s="14" t="s">
        <v>33</v>
      </c>
      <c r="H20" s="10"/>
      <c r="I20" s="29" t="s">
        <v>16</v>
      </c>
      <c r="J20" s="3">
        <v>1.99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82"/>
    </row>
    <row r="21" spans="5:18" x14ac:dyDescent="0.25">
      <c r="E21" s="13"/>
      <c r="F21" s="10"/>
      <c r="G21" s="10"/>
      <c r="H21" s="10"/>
      <c r="I21" s="29" t="s">
        <v>21</v>
      </c>
      <c r="J21" s="3" t="s">
        <v>75</v>
      </c>
      <c r="K21" s="3" t="s">
        <v>75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82"/>
    </row>
    <row r="22" spans="5:18" x14ac:dyDescent="0.25">
      <c r="E22" s="13"/>
      <c r="F22" s="10"/>
      <c r="G22" s="10"/>
      <c r="H22" s="10"/>
      <c r="I22" s="29" t="s">
        <v>17</v>
      </c>
      <c r="J22" s="3">
        <v>5.95</v>
      </c>
      <c r="K22" s="3">
        <v>2.17</v>
      </c>
      <c r="L22" s="3">
        <v>2.17</v>
      </c>
      <c r="M22" s="3">
        <v>2.17</v>
      </c>
      <c r="N22" s="3">
        <v>2.17</v>
      </c>
      <c r="O22" s="3">
        <v>2.17</v>
      </c>
      <c r="P22" s="3">
        <v>7</v>
      </c>
      <c r="Q22" s="3">
        <v>7</v>
      </c>
      <c r="R22" s="82"/>
    </row>
    <row r="23" spans="5:18" x14ac:dyDescent="0.25">
      <c r="E23" s="13"/>
      <c r="F23" s="10"/>
      <c r="G23" s="10"/>
      <c r="H23" s="10"/>
      <c r="I23" s="31" t="s">
        <v>20</v>
      </c>
      <c r="J23" s="32">
        <v>10050</v>
      </c>
      <c r="K23" s="32">
        <v>10050</v>
      </c>
      <c r="L23" s="32">
        <v>10050</v>
      </c>
      <c r="M23" s="32">
        <v>10050</v>
      </c>
      <c r="N23" s="32">
        <v>10050</v>
      </c>
      <c r="O23" s="32">
        <v>10050</v>
      </c>
      <c r="P23" s="32">
        <v>10050</v>
      </c>
      <c r="Q23" s="32">
        <v>10050</v>
      </c>
      <c r="R23" s="33"/>
    </row>
    <row r="24" spans="5:18" x14ac:dyDescent="0.25">
      <c r="E24" s="13"/>
      <c r="F24" s="10"/>
      <c r="G24" s="10"/>
      <c r="H24" s="10"/>
      <c r="I24" s="31" t="s">
        <v>19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3"/>
    </row>
    <row r="25" spans="5:18" x14ac:dyDescent="0.25">
      <c r="E25" s="13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8"/>
    </row>
    <row r="26" spans="5:18" x14ac:dyDescent="0.25">
      <c r="E26" s="13"/>
      <c r="F26" s="10"/>
      <c r="G26" s="10"/>
      <c r="H26" s="10"/>
      <c r="I26" s="10"/>
      <c r="J26" s="10"/>
      <c r="K26" s="6"/>
      <c r="L26" s="6"/>
      <c r="M26" s="6"/>
      <c r="N26" s="6"/>
      <c r="O26" s="6"/>
      <c r="P26" s="6"/>
      <c r="Q26" s="6"/>
      <c r="R26" s="8"/>
    </row>
    <row r="27" spans="5:18" x14ac:dyDescent="0.25">
      <c r="E27" s="13"/>
      <c r="F27" s="10"/>
      <c r="G27" s="10"/>
      <c r="H27" s="10"/>
      <c r="I27" s="10"/>
      <c r="J27" s="10"/>
      <c r="K27" s="6"/>
      <c r="L27" s="6"/>
      <c r="M27" s="6"/>
      <c r="N27" s="6"/>
      <c r="O27" s="6"/>
      <c r="P27" s="6"/>
      <c r="Q27" s="6"/>
      <c r="R27" s="8"/>
    </row>
    <row r="28" spans="5:18" ht="15.75" thickBot="1" x14ac:dyDescent="0.3">
      <c r="E28" s="13"/>
      <c r="F28" s="10"/>
      <c r="G28" s="23"/>
      <c r="H28" s="23"/>
      <c r="I28" s="10"/>
      <c r="J28" s="10"/>
      <c r="K28" s="6"/>
      <c r="L28" s="6"/>
      <c r="M28" s="6"/>
      <c r="N28" s="6"/>
      <c r="O28" s="6"/>
      <c r="P28" s="6"/>
      <c r="Q28" s="6"/>
      <c r="R28" s="8"/>
    </row>
    <row r="29" spans="5:18" ht="15.75" thickBot="1" x14ac:dyDescent="0.3">
      <c r="E29" s="77"/>
      <c r="F29" s="78"/>
      <c r="G29" s="10"/>
      <c r="H29" s="10"/>
      <c r="I29" s="79" t="s">
        <v>51</v>
      </c>
      <c r="J29" s="80"/>
      <c r="K29" s="80"/>
      <c r="L29" s="80"/>
      <c r="M29" s="80"/>
      <c r="N29" s="81"/>
      <c r="O29" s="24" t="s">
        <v>52</v>
      </c>
      <c r="P29" s="24" t="s">
        <v>53</v>
      </c>
      <c r="Q29" s="6"/>
      <c r="R29" s="8"/>
    </row>
    <row r="30" spans="5:18" x14ac:dyDescent="0.25">
      <c r="E30" s="13"/>
      <c r="F30" s="10"/>
      <c r="G30" s="10"/>
      <c r="H30" s="10"/>
      <c r="I30" s="10"/>
      <c r="J30" s="10"/>
      <c r="K30" s="6"/>
      <c r="L30" s="6"/>
      <c r="M30" s="6"/>
      <c r="N30" s="6"/>
      <c r="O30" s="10" t="s">
        <v>47</v>
      </c>
      <c r="P30" s="10" t="s">
        <v>40</v>
      </c>
      <c r="Q30" s="6"/>
      <c r="R30" s="8"/>
    </row>
    <row r="31" spans="5:18" x14ac:dyDescent="0.25">
      <c r="E31" s="13"/>
      <c r="F31" s="10"/>
      <c r="G31" s="10"/>
      <c r="H31" s="10"/>
      <c r="I31" s="10"/>
      <c r="J31" s="10"/>
      <c r="K31" s="6"/>
      <c r="L31" s="6"/>
      <c r="M31" s="6"/>
      <c r="N31" s="6"/>
      <c r="O31" s="10"/>
      <c r="P31" s="10"/>
      <c r="Q31" s="6"/>
      <c r="R31" s="8"/>
    </row>
    <row r="32" spans="5:18" x14ac:dyDescent="0.25">
      <c r="E32" s="13"/>
      <c r="F32" s="10"/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8"/>
    </row>
    <row r="33" spans="5:18" ht="15.75" thickBot="1" x14ac:dyDescent="0.3">
      <c r="E33" s="16"/>
      <c r="F33" s="12"/>
      <c r="G33" s="12"/>
      <c r="H33" s="12"/>
      <c r="I33" s="12"/>
      <c r="J33" s="12"/>
      <c r="K33" s="11"/>
      <c r="L33" s="11"/>
      <c r="M33" s="11"/>
      <c r="N33" s="11"/>
      <c r="O33" s="11"/>
      <c r="P33" s="11"/>
      <c r="Q33" s="11"/>
      <c r="R33" s="9"/>
    </row>
  </sheetData>
  <mergeCells count="8">
    <mergeCell ref="E3:R3"/>
    <mergeCell ref="I5:Q5"/>
    <mergeCell ref="F6:G6"/>
    <mergeCell ref="E29:F29"/>
    <mergeCell ref="I29:N29"/>
    <mergeCell ref="F16:G16"/>
    <mergeCell ref="R19:R22"/>
    <mergeCell ref="R13:R15"/>
  </mergeCells>
  <dataValidations count="11">
    <dataValidation type="list" allowBlank="1" showInputMessage="1" showErrorMessage="1" sqref="J13:Q13 J16:Q16" xr:uid="{A1CAE663-5348-4021-9D7B-306BCBF7B43C}">
      <formula1>MainBand</formula1>
    </dataValidation>
    <dataValidation type="list" allowBlank="1" showInputMessage="1" showErrorMessage="1" sqref="J15:Q15 J18:K18" xr:uid="{9FA91EA3-6305-4719-B9AE-C4D1D8D7A19B}">
      <formula1>INDIRECT(J13&amp;"_L")</formula1>
    </dataValidation>
    <dataValidation type="list" allowBlank="1" showInputMessage="1" showErrorMessage="1" sqref="J14:Q14 J17:Q17" xr:uid="{74114F19-8445-4155-BBF6-B9069A70BAB3}">
      <formula1>INDIRECT(J13&amp;"_H")</formula1>
    </dataValidation>
    <dataValidation type="list" allowBlank="1" showInputMessage="1" showErrorMessage="1" sqref="J8:Q8" xr:uid="{8E7C9E46-889E-4863-A4C6-33FB826F4AFF}">
      <formula1>RFIBS</formula1>
    </dataValidation>
    <dataValidation type="list" allowBlank="1" showInputMessage="1" showErrorMessage="1" sqref="J9:Q9" xr:uid="{0FFEBF0D-B921-493F-AC30-B6A20C555293}">
      <formula1>IFOBS</formula1>
    </dataValidation>
    <dataValidation type="list" allowBlank="1" showInputMessage="1" showErrorMessage="1" sqref="J19:Q19" xr:uid="{433F2BB9-1269-4DDB-8A88-887619EE604D}">
      <formula1>TF2_HPF_SW</formula1>
    </dataValidation>
    <dataValidation type="list" allowBlank="1" showInputMessage="1" showErrorMessage="1" sqref="J20 J22:O22" xr:uid="{78D7FA88-7DE6-435F-92AC-0FCB0E1240A0}">
      <formula1>INDIRECT(J19)</formula1>
    </dataValidation>
    <dataValidation type="list" allowBlank="1" showInputMessage="1" showErrorMessage="1" sqref="J21:Q21" xr:uid="{572AD11D-12F4-4369-AF15-0EDE429BC0F7}">
      <formula1>TF2_LPF_SW</formula1>
    </dataValidation>
    <dataValidation type="list" allowBlank="1" showInputMessage="1" showErrorMessage="1" sqref="J23:Q23" xr:uid="{53F50C29-83D3-4880-8BC0-797C4EA3CE69}">
      <formula1>LO_FREQ</formula1>
    </dataValidation>
    <dataValidation type="list" allowBlank="1" showInputMessage="1" showErrorMessage="1" sqref="J10:Q12" xr:uid="{52198FD2-F0FC-41A2-8688-FE109C688510}">
      <formula1>DCA</formula1>
    </dataValidation>
    <dataValidation type="list" allowBlank="1" showInputMessage="1" showErrorMessage="1" sqref="J7:Q7" xr:uid="{15C0A5F9-437D-4CBB-AA24-D8BC6C17C3DB}">
      <formula1>RFISRC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2546-88C8-425F-99E2-6FF4AC662E64}">
  <sheetPr codeName="Sheet5"/>
  <dimension ref="D4:F14"/>
  <sheetViews>
    <sheetView workbookViewId="0">
      <selection activeCell="D4" sqref="D4:F14"/>
    </sheetView>
  </sheetViews>
  <sheetFormatPr defaultRowHeight="15" x14ac:dyDescent="0.25"/>
  <sheetData>
    <row r="4" spans="4:6" x14ac:dyDescent="0.25">
      <c r="D4" s="1" t="s">
        <v>115</v>
      </c>
      <c r="E4" s="1" t="s">
        <v>116</v>
      </c>
      <c r="F4" s="1" t="s">
        <v>117</v>
      </c>
    </row>
    <row r="5" spans="4:6" x14ac:dyDescent="0.25">
      <c r="D5" s="1">
        <v>0</v>
      </c>
      <c r="E5" s="1">
        <v>0.4</v>
      </c>
      <c r="F5" s="1">
        <v>1.25</v>
      </c>
    </row>
    <row r="6" spans="4:6" x14ac:dyDescent="0.25">
      <c r="D6" s="1">
        <v>1</v>
      </c>
      <c r="E6" s="1">
        <v>1</v>
      </c>
      <c r="F6" s="1">
        <v>22.25</v>
      </c>
    </row>
    <row r="7" spans="4:6" x14ac:dyDescent="0.25">
      <c r="D7" s="1">
        <v>2</v>
      </c>
      <c r="E7" s="1">
        <v>2</v>
      </c>
      <c r="F7" s="1">
        <v>4</v>
      </c>
    </row>
    <row r="8" spans="4:6" x14ac:dyDescent="0.25">
      <c r="D8" s="1">
        <v>3</v>
      </c>
      <c r="E8" s="1">
        <v>4</v>
      </c>
      <c r="F8" s="1">
        <v>6</v>
      </c>
    </row>
    <row r="9" spans="4:6" x14ac:dyDescent="0.25">
      <c r="D9" s="1">
        <v>4</v>
      </c>
      <c r="E9" s="1">
        <v>6</v>
      </c>
      <c r="F9" s="1">
        <v>8</v>
      </c>
    </row>
    <row r="10" spans="4:6" x14ac:dyDescent="0.25">
      <c r="D10" s="1">
        <v>5</v>
      </c>
      <c r="E10" s="1">
        <v>8</v>
      </c>
      <c r="F10" s="1">
        <v>10</v>
      </c>
    </row>
    <row r="11" spans="4:6" x14ac:dyDescent="0.25">
      <c r="D11" s="1">
        <v>6</v>
      </c>
      <c r="E11" s="1">
        <v>10</v>
      </c>
      <c r="F11" s="1">
        <v>12</v>
      </c>
    </row>
    <row r="12" spans="4:6" x14ac:dyDescent="0.25">
      <c r="D12" s="1">
        <v>7</v>
      </c>
      <c r="E12" s="1">
        <v>12</v>
      </c>
      <c r="F12" s="1">
        <v>14</v>
      </c>
    </row>
    <row r="13" spans="4:6" x14ac:dyDescent="0.25">
      <c r="D13" s="1">
        <v>8</v>
      </c>
      <c r="E13" s="1">
        <v>14</v>
      </c>
      <c r="F13" s="1">
        <v>16</v>
      </c>
    </row>
    <row r="14" spans="4:6" x14ac:dyDescent="0.25">
      <c r="D14" s="1">
        <v>10</v>
      </c>
      <c r="E14" s="1">
        <v>16</v>
      </c>
      <c r="F14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LISTS</vt:lpstr>
      <vt:lpstr>MOFC_ASSIGN</vt:lpstr>
      <vt:lpstr>MOFC_DEBUG</vt:lpstr>
      <vt:lpstr>SystemFiletrs</vt:lpstr>
      <vt:lpstr>BAND1_H</vt:lpstr>
      <vt:lpstr>BAND1_L</vt:lpstr>
      <vt:lpstr>BAND2_H</vt:lpstr>
      <vt:lpstr>BAND2_L</vt:lpstr>
      <vt:lpstr>BAND3_H</vt:lpstr>
      <vt:lpstr>BAND3_L</vt:lpstr>
      <vt:lpstr>BIT_INT_EXT</vt:lpstr>
      <vt:lpstr>BIT_LO_FREQ</vt:lpstr>
      <vt:lpstr>BIT_OUT_PWR</vt:lpstr>
      <vt:lpstr>BYPASS_H</vt:lpstr>
      <vt:lpstr>BYPASS_L</vt:lpstr>
      <vt:lpstr>DCA</vt:lpstr>
      <vt:lpstr>HPF_1</vt:lpstr>
      <vt:lpstr>HPF_2</vt:lpstr>
      <vt:lpstr>HPF_3</vt:lpstr>
      <vt:lpstr>HPF_4</vt:lpstr>
      <vt:lpstr>HPF_BYPASS</vt:lpstr>
      <vt:lpstr>IFOBS</vt:lpstr>
      <vt:lpstr>LO_FREQ</vt:lpstr>
      <vt:lpstr>LPF_1</vt:lpstr>
      <vt:lpstr>LPF_2</vt:lpstr>
      <vt:lpstr>LPF_3</vt:lpstr>
      <vt:lpstr>LPF_4</vt:lpstr>
      <vt:lpstr>LPF_BYPASS</vt:lpstr>
      <vt:lpstr>MainBand</vt:lpstr>
      <vt:lpstr>OpMode</vt:lpstr>
      <vt:lpstr>Pls_CW</vt:lpstr>
      <vt:lpstr>RFIBS</vt:lpstr>
      <vt:lpstr>RFISRC</vt:lpstr>
      <vt:lpstr>TF2_HPF_SW</vt:lpstr>
      <vt:lpstr>TF2_LPF_SW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izkovsky</dc:creator>
  <cp:lastModifiedBy>guy izkovsky</cp:lastModifiedBy>
  <dcterms:created xsi:type="dcterms:W3CDTF">2015-06-05T18:17:20Z</dcterms:created>
  <dcterms:modified xsi:type="dcterms:W3CDTF">2026-01-02T17:38:02Z</dcterms:modified>
</cp:coreProperties>
</file>