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Git\MOFC\"/>
    </mc:Choice>
  </mc:AlternateContent>
  <xr:revisionPtr revIDLastSave="0" documentId="8_{FB809841-C631-432D-9BE6-7DFA09EA7548}" xr6:coauthVersionLast="47" xr6:coauthVersionMax="47" xr10:uidLastSave="{00000000-0000-0000-0000-000000000000}"/>
  <bookViews>
    <workbookView xWindow="2055" yWindow="345" windowWidth="24945" windowHeight="12735" firstSheet="1" activeTab="8" xr2:uid="{00000000-000D-0000-FFFF-FFFF00000000}"/>
  </bookViews>
  <sheets>
    <sheet name="Version-control" sheetId="17" r:id="rId1"/>
    <sheet name="Debug" sheetId="20" r:id="rId2"/>
    <sheet name="ICD" sheetId="19" r:id="rId3"/>
    <sheet name="General" sheetId="2" r:id="rId4"/>
    <sheet name="Status Reg" sheetId="11" r:id="rId5"/>
    <sheet name="FPGA_VER_REG" sheetId="18" r:id="rId6"/>
    <sheet name="Global config" sheetId="10" r:id="rId7"/>
    <sheet name="BIT_CONFIG" sheetId="9" r:id="rId8"/>
    <sheet name="CH_CFG" sheetId="8" r:id="rId9"/>
    <sheet name="configuration flow" sheetId="14" r:id="rId10"/>
    <sheet name="Checksum-verification" sheetId="16" r:id="rId11"/>
  </sheets>
  <definedNames>
    <definedName name="_Toc160693716" localSheetId="7">BIT_CONFIG!$E$4</definedName>
    <definedName name="_Toc160693716" localSheetId="8">CH_CFG!$E$8</definedName>
    <definedName name="_Toc160693716" localSheetId="10">'Checksum-verification'!$E$3</definedName>
    <definedName name="_Toc160693716" localSheetId="9">'configuration flow'!$E$4</definedName>
    <definedName name="_Toc160693716" localSheetId="5">FPGA_VER_REG!$E$4</definedName>
    <definedName name="_Toc160693716" localSheetId="3">General!$E$39</definedName>
    <definedName name="_Toc160693716" localSheetId="6">'Global config'!$E$4</definedName>
    <definedName name="_Toc160693716" localSheetId="2">ICD!#REF!</definedName>
    <definedName name="_Toc160693716" localSheetId="4">'Status Reg'!$E$4</definedName>
    <definedName name="_Toc160693716" localSheetId="0">'Version-control'!#REF!</definedName>
    <definedName name="_Toc160693717" localSheetId="7">BIT_CONFIG!$E$3</definedName>
    <definedName name="_Toc160693717" localSheetId="8">CH_CFG!$E$7</definedName>
    <definedName name="_Toc160693717" localSheetId="10">'Checksum-verification'!$E$2</definedName>
    <definedName name="_Toc160693717" localSheetId="9">'configuration flow'!$E$3</definedName>
    <definedName name="_Toc160693717" localSheetId="5">FPGA_VER_REG!$E$3</definedName>
    <definedName name="_Toc160693717" localSheetId="3">General!$E$38</definedName>
    <definedName name="_Toc160693717" localSheetId="6">'Global config'!$E$3</definedName>
    <definedName name="_Toc160693717" localSheetId="2">ICD!#REF!</definedName>
    <definedName name="_Toc160693717" localSheetId="4">'Status Reg'!$E$3</definedName>
    <definedName name="_Toc160693717" localSheetId="0">'Version-control'!#REF!</definedName>
    <definedName name="_Toc160693718" localSheetId="7">BIT_CONFIG!$AI$6</definedName>
    <definedName name="_Toc160693718" localSheetId="8">CH_CFG!$AI$10</definedName>
    <definedName name="_Toc160693718" localSheetId="10">'Checksum-verification'!#REF!</definedName>
    <definedName name="_Toc160693718" localSheetId="9">'configuration flow'!#REF!</definedName>
    <definedName name="_Toc160693718" localSheetId="5">FPGA_VER_REG!#REF!</definedName>
    <definedName name="_Toc160693718" localSheetId="3">General!$AI$43</definedName>
    <definedName name="_Toc160693718" localSheetId="6">'Global config'!#REF!</definedName>
    <definedName name="_Toc160693718" localSheetId="2">ICD!#REF!</definedName>
    <definedName name="_Toc160693718" localSheetId="4">'Status Reg'!#REF!</definedName>
    <definedName name="_Toc160693718" localSheetId="0">'Version-control'!#REF!</definedName>
    <definedName name="_Toc198116074" localSheetId="10">'Checksum-verification'!#REF!</definedName>
    <definedName name="_Toc198116074" localSheetId="9">'configuration flow'!$F$3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20" l="1"/>
  <c r="G8" i="20"/>
  <c r="G7" i="20"/>
  <c r="I44" i="2" l="1"/>
  <c r="I45" i="2"/>
  <c r="I46" i="2"/>
  <c r="I47" i="2"/>
  <c r="I48" i="2"/>
  <c r="I49" i="2"/>
  <c r="I50" i="2"/>
  <c r="I51" i="2"/>
  <c r="I52" i="2"/>
  <c r="I53" i="2"/>
  <c r="I54" i="2"/>
  <c r="I55" i="2"/>
  <c r="I56" i="2"/>
  <c r="I57" i="2"/>
  <c r="I58" i="2"/>
  <c r="I59" i="2"/>
  <c r="I60" i="2"/>
  <c r="I43" i="2"/>
  <c r="G6" i="20"/>
  <c r="G32" i="20"/>
  <c r="G37" i="20" l="1"/>
  <c r="G26" i="20"/>
  <c r="G25" i="20"/>
  <c r="G24" i="20"/>
  <c r="G23" i="20"/>
  <c r="G22" i="20"/>
  <c r="G21" i="20"/>
  <c r="G20" i="20"/>
  <c r="G19" i="20"/>
  <c r="G18" i="20"/>
  <c r="G17" i="20"/>
  <c r="G16" i="20"/>
  <c r="G15" i="20"/>
  <c r="G64" i="20"/>
  <c r="G60" i="20"/>
  <c r="G41" i="20"/>
  <c r="I3" i="18"/>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<sst xmlns="http://schemas.openxmlformats.org/spreadsheetml/2006/main" count="893" uniqueCount="430">
  <si>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</si>
  <si>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</si>
  <si>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</si>
  <si>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</si>
  <si>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</si>
  <si>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</si>
  <si>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</si>
  <si>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</si>
  <si>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</si>
  <si>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</si>
  <si>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</si>
  <si>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</si>
  <si>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</si>
  <si>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</si>
  <si>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</si>
  <si>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</si>
  <si>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</si>
  <si>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</si>
  <si>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</si>
  <si>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</si>
  <si>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</si>
  <si>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</si>
  <si>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</si>
  <si>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</si>
  <si>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</si>
  <si>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</si>
  <si>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</si>
  <si>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</si>
  <si>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</si>
  <si>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</si>
  <si>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</si>
  <si>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</si>
  <si>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</si>
  <si>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</si>
  <si>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</si>
  <si>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</si>
  <si>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</si>
  <si>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</si>
  <si>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</si>
  <si>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</si>
  <si>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</si>
  <si>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</si>
  <si>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</si>
  <si>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</si>
  <si>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</si>
  <si>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</si>
  <si>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</si>
  <si>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</si>
  <si>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</si>
  <si>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</si>
  <si>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</si>
  <si>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</si>
  <si>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</si>
  <si>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</si>
  <si>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</si>
  <si>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</si>
  <si>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</si>
  <si>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</si>
  <si>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</si>
  <si>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</si>
  <si>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</si>
  <si>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</si>
  <si>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</si>
  <si>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</si>
  <si>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</si>
  <si>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</si>
  <si>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</si>
  <si>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</si>
  <si>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</si>
  <si>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</si>
  <si>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</si>
  <si>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</si>
  <si>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</si>
  <si>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</si>
  <si>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</si>
  <si>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</si>
  <si>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</si>
  <si>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</si>
  <si>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</si>
  <si>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</si>
  <si>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RSVD</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</si>
  <si>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</si>
  <si>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</si>
  <si>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</si>
  <si>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</si>
  <si>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</si>
  <si>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</si>
  <si>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</si>
  <si>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</si>
  <si>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</si>
  <si>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</si>
  <si>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</si>
  <si>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</si>
  <si>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</si>
  <si>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</si>
  <si>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</si>
  <si>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</si>
  <si>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</si>
  <si>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</si>
  <si>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</si>
  <si>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</si>
  <si>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</si>
  <si>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</si>
  <si>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</si>
  <si>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</si>
  <si>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</si>
  <si>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</si>
  <si>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</si>
  <si>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</si>
  <si>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</si>
  <si>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</si>
  <si>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</si>
  <si>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</si>
  <si>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</si>
  <si>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</si>
  <si>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</si>
  <si>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</si>
  <si>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</si>
  <si>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</si>
  <si>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</si>
  <si>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</si>
  <si>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</si>
  <si>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</si>
  <si>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</si>
  <si>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</si>
  <si>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</si>
  <si>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</si>
  <si>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</si>
  <si>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</si>
  <si>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</si>
  <si>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</si>
  <si>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</si>
  <si>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</si>
  <si>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</si>
  <si>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</si>
  <si>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</si>
  <si>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CW</t>
  </si>
  <si>
    <t>INT/EXT</t>
  </si>
  <si>
    <t>PLS</t>
  </si>
  <si>
    <t>INTERNAL BIT</t>
  </si>
  <si>
    <t>EXTERNAL BIT</t>
  </si>
  <si>
    <t>CW ot pulse mode, incase of Pulse mode Pulsewidth and PRI are defined in global cobfig register</t>
  </si>
  <si>
    <t>PM_PWID</t>
  </si>
  <si>
    <t>PM_PRI</t>
  </si>
  <si>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</si>
  <si>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</si>
  <si>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</si>
  <si>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</si>
  <si>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</si>
  <si>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</si>
  <si>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</si>
  <si>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</si>
  <si>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</si>
  <si>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</si>
  <si>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</si>
  <si>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</si>
  <si>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</si>
  <si>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Remarks/Enums</t>
  </si>
  <si>
    <t>Register value range: 0 to 50</t>
  </si>
  <si>
    <r>
      <t xml:space="preserve">Sets the transmitter output power from -30 dBm (max) to -80 dBm (min).
LSB = 1 dBm per step
</t>
    </r>
    <r>
      <rPr>
        <b/>
        <i/>
        <sz val="11"/>
        <color theme="1"/>
        <rFont val="Arial"/>
        <family val="2"/>
        <scheme val="minor"/>
      </rPr>
      <t>Output Power (dBm) = -30 - Register_Value</t>
    </r>
    <r>
      <rPr>
        <sz val="11"/>
        <color theme="1"/>
        <rFont val="Arial"/>
        <family val="2"/>
        <scheme val="minor"/>
      </rPr>
      <t xml:space="preserve">
</t>
    </r>
  </si>
  <si>
    <t xml:space="preserve">INTERNAL / EXTRENAL BIT
</t>
  </si>
  <si>
    <t>Power down LO ( 1 means power down)</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</si>
  <si>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</si>
  <si>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</si>
  <si>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</si>
  <si>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</si>
  <si>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</si>
  <si>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</si>
  <si>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</si>
  <si>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</si>
  <si>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</si>
  <si>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</si>
  <si>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</si>
  <si>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</si>
  <si>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</si>
  <si>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</si>
  <si>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</si>
  <si>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</si>
  <si>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</si>
  <si>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</si>
  <si>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</si>
  <si>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</si>
  <si>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</si>
  <si>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</si>
  <si>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</si>
  <si>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</si>
  <si>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</si>
  <si>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</si>
  <si>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</si>
  <si>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</si>
  <si>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</si>
  <si>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</si>
  <si>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</si>
  <si>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</si>
  <si>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</si>
  <si>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</si>
  <si>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</si>
  <si>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</si>
  <si>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</si>
  <si>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</si>
  <si>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</si>
  <si>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</si>
  <si>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</si>
  <si>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</si>
  <si>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</si>
  <si>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</si>
  <si>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</si>
  <si>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</si>
  <si>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</si>
  <si>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</si>
  <si>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</si>
  <si>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</si>
  <si>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</si>
  <si>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</si>
  <si>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</si>
  <si>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</si>
  <si>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</si>
  <si>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</si>
  <si>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</si>
  <si>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</si>
  <si>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</si>
  <si>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</si>
  <si>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</si>
  <si>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</si>
  <si>
    <t>[15:12]</t>
  </si>
  <si>
    <t>[19:16]</t>
  </si>
  <si>
    <t>[6:3]</t>
  </si>
  <si>
    <t>[9:7]</t>
  </si>
  <si>
    <t>[13:10]</t>
  </si>
  <si>
    <t>[23:14]</t>
  </si>
  <si>
    <t>Version 1.3</t>
  </si>
  <si>
    <t>Pin #</t>
  </si>
  <si>
    <t>Signal Name</t>
  </si>
  <si>
    <t>Direction</t>
  </si>
  <si>
    <t>Type</t>
  </si>
  <si>
    <t>SPI_CLK_P</t>
  </si>
  <si>
    <t>IN</t>
  </si>
  <si>
    <t>RS-422 differential</t>
  </si>
  <si>
    <t>SPI Clock Positive</t>
  </si>
  <si>
    <t>SPI_CLK_N</t>
  </si>
  <si>
    <t>SPI Clock Negative</t>
  </si>
  <si>
    <t>SPI_MOSI_P</t>
  </si>
  <si>
    <t>SPI Master Out, Slave In Positive</t>
  </si>
  <si>
    <t>SPI_MOSI_N</t>
  </si>
  <si>
    <t>SPI Master Out, Slave In Negative</t>
  </si>
  <si>
    <t>SPI_MISO_P</t>
  </si>
  <si>
    <t>OUT</t>
  </si>
  <si>
    <t>SPI Slave Out, Master In Positive</t>
  </si>
  <si>
    <t>SPI_MISO_N</t>
  </si>
  <si>
    <t>SPI Slave Out, Master In Negative</t>
  </si>
  <si>
    <t>SPI_CSN_P</t>
  </si>
  <si>
    <t>SPI Chip Select Not Positive (active low)</t>
  </si>
  <si>
    <t>SPI_CSN_N</t>
  </si>
  <si>
    <t>SPI Chip Select Not Negative</t>
  </si>
  <si>
    <t>RESETN_P</t>
  </si>
  <si>
    <t>Reset Line Positive (active low)</t>
  </si>
  <si>
    <t>RESETN_N</t>
  </si>
  <si>
    <t>Reset Line Negative</t>
  </si>
  <si>
    <t>RF_RDY_P</t>
  </si>
  <si>
    <t>RF Ready Positive</t>
  </si>
  <si>
    <t>RF_RDY_N</t>
  </si>
  <si>
    <t>RF Ready Negative</t>
  </si>
  <si>
    <t>RS422 RSVD + GND</t>
  </si>
  <si>
    <t>GPIO_RS422_OUT_P/SPI_MISO_CLK_P</t>
  </si>
  <si>
    <t>Reserved Output GPIO Positive</t>
  </si>
  <si>
    <t>GPIO_RS422_OUT_N/ SPI_MISO_CLK_P</t>
  </si>
  <si>
    <t>Reserved Output GPIO Negative</t>
  </si>
  <si>
    <t>INOUT</t>
  </si>
  <si>
    <t>Reserved Bidirectional GPIO Positive</t>
  </si>
  <si>
    <t>Reserved Bidirectional GPIO Negative</t>
  </si>
  <si>
    <t>GND_RS422</t>
  </si>
  <si>
    <t>—</t>
  </si>
  <si>
    <t>Ground</t>
  </si>
  <si>
    <t>GND for all RS-422 signals</t>
  </si>
  <si>
    <t>GND_RS232</t>
  </si>
  <si>
    <t xml:space="preserve">For RS-232 </t>
  </si>
  <si>
    <t>PWR_STATUS</t>
  </si>
  <si>
    <t>TTL out</t>
  </si>
  <si>
    <t>Indicate the power status of the MOFC 1- power on 0 – power off</t>
  </si>
  <si>
    <t>GPIO_TTL</t>
  </si>
  <si>
    <t>TTL INOUT</t>
  </si>
  <si>
    <t>Reseverd bidirectional TTL</t>
  </si>
  <si>
    <t>GPIO_RS422_IO1_P</t>
  </si>
  <si>
    <t>GPIO_RS422_IO1_N</t>
  </si>
  <si>
    <t>added TAB ICD, remove RS232_DEBUG replace them with one RS422 GPIO, and one TTL GPIO</t>
  </si>
  <si>
    <t>GPIO_RS422_IO2_P</t>
  </si>
  <si>
    <t>GPIO_RS422_IO2_N</t>
  </si>
  <si>
    <t>CH_CFG tab &gt; CFR_REG1: fix error of reseverd bits from [23:16] to [23:22]</t>
  </si>
  <si>
    <t>CH_CFG tab &gt; CFR_REG2: fix IDD error of bit location fro filed TF3_VH from [5:2] to [15:12] and TF3_VL from [9:6] to 19:16</t>
  </si>
  <si>
    <t>CH_CFG tab &gt; CFR_REG3: fix IDD error of bit location for filed TF2_LPF_STATE, TF2_LPF_SW, TF2_HPF_STATE</t>
  </si>
  <si>
    <t>1.3 fix error bits (was [5:2])</t>
  </si>
  <si>
    <t>1.3 fix error bits (was [9:6])</t>
  </si>
  <si>
    <t>1.3 fix error bits (was [7:6])</t>
  </si>
  <si>
    <t>1.3 fix error bits (was [11:8])</t>
  </si>
  <si>
    <t>1.3 fix error bits was [23:13]</t>
  </si>
  <si>
    <t>RS422 SPI + Discrete (reset,RDY)</t>
  </si>
  <si>
    <t>TTL</t>
  </si>
  <si>
    <t>1.3 - instead of RS232_TXD</t>
  </si>
  <si>
    <t>1.3 - instead of RS232_RXD</t>
  </si>
  <si>
    <t>1.3 - instead of Debug enable</t>
  </si>
  <si>
    <t>IDD version control</t>
  </si>
  <si>
    <t>ICD version control</t>
  </si>
  <si>
    <t>10MHZ_LCK</t>
  </si>
  <si>
    <t>add field version 1.4</t>
  </si>
  <si>
    <t>10Mhz clock lock indication</t>
  </si>
  <si>
    <t>Version1.4</t>
  </si>
  <si>
    <t>Status Reg TAB -&gt; add filed 10MHZ_LCK</t>
  </si>
  <si>
    <t>[14:0]</t>
  </si>
  <si>
    <t>[23]</t>
  </si>
  <si>
    <t>Version1.5</t>
  </si>
  <si>
    <t>F</t>
    <phoneticPr fontId="14" type="noConversion"/>
  </si>
  <si>
    <t>Write</t>
    <phoneticPr fontId="14" type="noConversion"/>
  </si>
  <si>
    <t>WO</t>
    <phoneticPr fontId="14" type="noConversion"/>
  </si>
  <si>
    <t>RO</t>
    <phoneticPr fontId="14" type="noConversion"/>
  </si>
  <si>
    <t>29</t>
    <phoneticPr fontId="14" type="noConversion"/>
  </si>
  <si>
    <t>28</t>
    <phoneticPr fontId="14" type="noConversion"/>
  </si>
  <si>
    <t>27</t>
    <phoneticPr fontId="14" type="noConversion"/>
  </si>
  <si>
    <t>26</t>
    <phoneticPr fontId="14" type="noConversion"/>
  </si>
  <si>
    <t>25</t>
    <phoneticPr fontId="14" type="noConversion"/>
  </si>
  <si>
    <t>24</t>
    <phoneticPr fontId="14" type="noConversion"/>
  </si>
  <si>
    <t>Write Flash Length</t>
    <phoneticPr fontId="14" type="noConversion"/>
  </si>
  <si>
    <t>Reserved</t>
    <phoneticPr fontId="14" type="noConversion"/>
  </si>
  <si>
    <t>Flash Data 2-1</t>
    <phoneticPr fontId="14" type="noConversion"/>
  </si>
  <si>
    <t>Flash Data 2-2</t>
    <phoneticPr fontId="14" type="noConversion"/>
  </si>
  <si>
    <t>Flash Data 2-3</t>
    <phoneticPr fontId="14" type="noConversion"/>
  </si>
  <si>
    <t>Flash Data 3-1</t>
    <phoneticPr fontId="14" type="noConversion"/>
  </si>
  <si>
    <t>Flash Data 3-2</t>
    <phoneticPr fontId="14" type="noConversion"/>
  </si>
  <si>
    <t>Flash Data 3-3</t>
    <phoneticPr fontId="14" type="noConversion"/>
  </si>
  <si>
    <t>…</t>
    <phoneticPr fontId="14" type="noConversion"/>
  </si>
  <si>
    <t>Read</t>
    <phoneticPr fontId="14" type="noConversion"/>
  </si>
  <si>
    <t>Write addr</t>
    <phoneticPr fontId="14" type="noConversion"/>
  </si>
  <si>
    <t>Read addr</t>
    <phoneticPr fontId="14" type="noConversion"/>
  </si>
  <si>
    <t>Read Flash Start Address</t>
    <phoneticPr fontId="14" type="noConversion"/>
  </si>
  <si>
    <t>Read Flash Length</t>
    <phoneticPr fontId="14" type="noConversion"/>
  </si>
  <si>
    <t>One
Freq Step Data</t>
    <phoneticPr fontId="14" type="noConversion"/>
  </si>
  <si>
    <t>BIT Step 400Mhz - 18500Mhz, 1Mhz Step
18100, Sector 1131(0 - 1130)</t>
    <phoneticPr fontId="14" type="noConversion"/>
  </si>
  <si>
    <t>LO Step 10000Mhz - 16750Mhz, 50Mhz Step
136 x 8(LO1~8),Sector 72
Sector Addr - LO1 - 0x500~0x508(ADDR_H)
                   LO2 - 0x600~0x608(ADDR_H)
….
                   LO8 - 0xC00~0xC08(ADDR_H)</t>
    <phoneticPr fontId="14" type="noConversion"/>
  </si>
  <si>
    <t>SERIAL_NUMBER</t>
    <phoneticPr fontId="14" type="noConversion"/>
  </si>
  <si>
    <t>Write Flash Start Address
(BIT) ADDR_H 0x000 - ADDR_L 0x000 to  ADDR_H 0x000 - ADDR_L 0x01D</t>
    <phoneticPr fontId="14" type="noConversion"/>
  </si>
  <si>
    <t>One
Sector
Data</t>
    <phoneticPr fontId="14" type="noConversion"/>
  </si>
  <si>
    <t>Write Flash Sqeunce</t>
    <phoneticPr fontId="14" type="noConversion"/>
  </si>
  <si>
    <t>Read Flash Sqeunce</t>
    <phoneticPr fontId="14" type="noConversion"/>
  </si>
  <si>
    <t>BIT</t>
    <phoneticPr fontId="14" type="noConversion"/>
  </si>
  <si>
    <t>LO</t>
    <phoneticPr fontId="14" type="noConversion"/>
  </si>
  <si>
    <t>Serial Numer</t>
    <phoneticPr fontId="14" type="noConversion"/>
  </si>
  <si>
    <r>
      <t xml:space="preserve">Sirial Data Sequence
Write Flash Length = Dec 1
</t>
    </r>
    <r>
      <rPr>
        <b/>
        <sz val="11"/>
        <color rgb="FF0000FF"/>
        <rFont val="Arial"/>
        <family val="3"/>
        <charset val="129"/>
        <scheme val="minor"/>
      </rPr>
      <t>Address 0xF00_000 to 0xF00_002</t>
    </r>
    <r>
      <rPr>
        <sz val="11"/>
        <color theme="1"/>
        <rFont val="Arial"/>
        <family val="2"/>
        <scheme val="minor"/>
      </rPr>
      <t xml:space="preserve">
0xF00_000 Data Serial Number[7:0]
0xF00_001 Data Serial Number[15:8]
0xF00_002 Data Serial Number[19:16]  </t>
    </r>
    <phoneticPr fontId="14" type="noConversion"/>
  </si>
  <si>
    <t>Direct PLL Reg Setting</t>
    <phoneticPr fontId="14" type="noConversion"/>
  </si>
  <si>
    <t>Reg Address</t>
    <phoneticPr fontId="14" type="noConversion"/>
  </si>
  <si>
    <t>Reg Data</t>
    <phoneticPr fontId="14" type="noConversion"/>
  </si>
  <si>
    <t>Fixed LO Direct</t>
    <phoneticPr fontId="14" type="noConversion"/>
  </si>
  <si>
    <t>BIT Direct</t>
    <phoneticPr fontId="14" type="noConversion"/>
  </si>
  <si>
    <t>Test1 Drect</t>
    <phoneticPr fontId="14" type="noConversion"/>
  </si>
  <si>
    <t>LO1 Direct</t>
    <phoneticPr fontId="14" type="noConversion"/>
  </si>
  <si>
    <t>LO12 Direct</t>
    <phoneticPr fontId="14" type="noConversion"/>
  </si>
  <si>
    <t>LO3 Direct</t>
    <phoneticPr fontId="14" type="noConversion"/>
  </si>
  <si>
    <t>LO4 Direct</t>
    <phoneticPr fontId="14" type="noConversion"/>
  </si>
  <si>
    <t>Test2 Direct</t>
    <phoneticPr fontId="14" type="noConversion"/>
  </si>
  <si>
    <t>LO5 Direct</t>
    <phoneticPr fontId="14" type="noConversion"/>
  </si>
  <si>
    <t>LO6 Direct</t>
    <phoneticPr fontId="14" type="noConversion"/>
  </si>
  <si>
    <t>LO7 Direct</t>
    <phoneticPr fontId="14" type="noConversion"/>
  </si>
  <si>
    <t>LO8 Direct</t>
    <phoneticPr fontId="14" type="noConversion"/>
  </si>
  <si>
    <r>
      <t xml:space="preserve">BIT Step 400Mhz - 18500Mhz, 1Mhz Step
</t>
    </r>
    <r>
      <rPr>
        <b/>
        <sz val="11"/>
        <color rgb="FF0000FF"/>
        <rFont val="Arial"/>
        <family val="3"/>
        <charset val="129"/>
        <scheme val="minor"/>
      </rPr>
      <t>Address 0x000_000 to 0x46A_01D</t>
    </r>
    <r>
      <rPr>
        <sz val="11"/>
        <color theme="1"/>
        <rFont val="Arial"/>
        <family val="2"/>
        <scheme val="minor"/>
      </rPr>
      <t xml:space="preserve">
1 Sector -&gt; 16 Step
1 Step -&gt; 14Byte
543,000Byte
ex)
400Mhz -&gt; 0x000_000 to 0x000_01D
401Mhz -&gt; 0x000_100 to 0x000_11D
402Mhz -&gt; 0x000_200 to 0x000_21D
…..............
415Mhz -&gt; 0x000_F00 to 0x000_F1D
416Mhz -&gt; 0x001_000 to 0x001_01D
................
18500Mhz -&gt; 0x46A_F00 to 0x46A_F1D</t>
    </r>
    <phoneticPr fontId="14" type="noConversion"/>
  </si>
  <si>
    <r>
      <t xml:space="preserve">LO Step 10000Mhz - 16750Mhz 50Mhz Step
</t>
    </r>
    <r>
      <rPr>
        <b/>
        <sz val="11"/>
        <color rgb="FF0000FF"/>
        <rFont val="Arial"/>
        <family val="3"/>
        <charset val="129"/>
        <scheme val="minor"/>
      </rPr>
      <t>Address 0x500_000 to 0xC08_01D</t>
    </r>
    <r>
      <rPr>
        <sz val="11"/>
        <color theme="1"/>
        <rFont val="Arial"/>
        <family val="2"/>
        <scheme val="minor"/>
      </rPr>
      <t xml:space="preserve">
1 Sector -&gt; 16 Step
1 Step -&gt; 14Byte
ex)
LO_1 10000Mhz -&gt; 0x500_000 to 0x500_01D
LO_1 10050Mhz -&gt; 0x500_100 to 0x500_11D
…....................
LO_1 10800Mhz -&gt; 0x501_000 to 0x501_01D
LO_1 10850Mhz -&gt; 0x501_100 to 0x501_11D
.......................
LO_1 16700Mhz -&gt; 0x508_E00 to 0x508_E1D
LO_1 16750Mhz -&gt; 0x508_F00 to 0x508_F1D
.......................
LO_2 10000Mhz -&gt; 0x600_000 to 0x600_01D
LO_2 10050Mhz -&gt; 0x600_100 to 0x600_11D
.......................
LO_8 16700Mhz -&gt; 0xC08_E00 to 0xC08_E1D
LO_8 16750Mhz -&gt; 0xC08_F00 to 0xC08_F1D</t>
    </r>
    <phoneticPr fontId="14" type="noConversion"/>
  </si>
  <si>
    <t>Flash Data 13-3</t>
    <phoneticPr fontId="14" type="noConversion"/>
  </si>
  <si>
    <t>Flash Data 14-3</t>
    <phoneticPr fontId="14" type="noConversion"/>
  </si>
  <si>
    <t>Flash Data 13-2</t>
    <phoneticPr fontId="14" type="noConversion"/>
  </si>
  <si>
    <t>Flash Data 13-1</t>
    <phoneticPr fontId="14" type="noConversion"/>
  </si>
  <si>
    <t>Flash Data 14-1</t>
    <phoneticPr fontId="14" type="noConversion"/>
  </si>
  <si>
    <t>Flash Data 14-2</t>
    <phoneticPr fontId="14" type="noConversion"/>
  </si>
  <si>
    <t>Write Flash Conig</t>
    <phoneticPr fontId="14" type="noConversion"/>
  </si>
  <si>
    <t>R/W</t>
    <phoneticPr fontId="14" type="noConversion"/>
  </si>
  <si>
    <t>Read Config</t>
    <phoneticPr fontId="14" type="noConversion"/>
  </si>
  <si>
    <t>Writ Rdy
0 = Stay
1 = Rdy</t>
    <phoneticPr fontId="14" type="noConversion"/>
  </si>
  <si>
    <t>Flash Data 1-3(23to16)</t>
    <phoneticPr fontId="14" type="noConversion"/>
  </si>
  <si>
    <t>Flash Data 1-2(15to8)</t>
    <phoneticPr fontId="14" type="noConversion"/>
  </si>
  <si>
    <t>Flash Data 1-1(7to0)</t>
    <phoneticPr fontId="14" type="noConversion"/>
  </si>
  <si>
    <t>Flash Data 176-3</t>
    <phoneticPr fontId="14" type="noConversion"/>
  </si>
  <si>
    <t>Flash Data 176-2</t>
    <phoneticPr fontId="14" type="noConversion"/>
  </si>
  <si>
    <t>Flash Data 176-1</t>
    <phoneticPr fontId="14" type="noConversion"/>
  </si>
  <si>
    <t>Flash Data 177-1</t>
    <phoneticPr fontId="14" type="noConversion"/>
  </si>
  <si>
    <t>Flash Data 177-2</t>
    <phoneticPr fontId="14" type="noConversion"/>
  </si>
  <si>
    <t>Flash Data 177-3</t>
    <phoneticPr fontId="14" type="noConversion"/>
  </si>
  <si>
    <t>LMX2595 PLL Set Data
Registers that must be changed for each set frequency
x Flash divided into 16 steps in one sector 
+ Start Address Register
( 11 x 16 ) + 1 = 177
If the registers that need to be changed increase or decrease,
Adjust Write Flash Length
Length is set to 1 per packet in 32-bit data units</t>
    <phoneticPr fontId="14" type="noConversion"/>
  </si>
  <si>
    <t>SirialNum Flash Sqeunce</t>
    <phoneticPr fontId="14" type="noConversion"/>
  </si>
  <si>
    <t>Sirial Number</t>
    <phoneticPr fontId="14" type="noConversion"/>
  </si>
  <si>
    <t>Debug Direct Set</t>
    <phoneticPr fontId="14" type="noConversion"/>
  </si>
  <si>
    <t>Debug Diirect</t>
    <phoneticPr fontId="14" type="noConversion"/>
  </si>
  <si>
    <t>Debug</t>
    <phoneticPr fontId="14" type="noConversion"/>
  </si>
  <si>
    <t>SerialNum</t>
    <phoneticPr fontId="14" type="noConversion"/>
  </si>
  <si>
    <t>Write Flash</t>
    <phoneticPr fontId="14" type="noConversion"/>
  </si>
  <si>
    <t>Read Flash</t>
    <phoneticPr fontId="14" type="noConversion"/>
  </si>
  <si>
    <r>
      <t>Write Flash Sqeunce(</t>
    </r>
    <r>
      <rPr>
        <b/>
        <sz val="10"/>
        <color rgb="FFFF0000"/>
        <rFont val="Arial"/>
        <family val="3"/>
        <charset val="129"/>
        <scheme val="minor"/>
      </rPr>
      <t xml:space="preserve"> Please Check Debug Sheet)</t>
    </r>
    <phoneticPr fontId="14" type="noConversion"/>
  </si>
  <si>
    <r>
      <t>Read Flash Sqeunce(</t>
    </r>
    <r>
      <rPr>
        <b/>
        <sz val="10"/>
        <color rgb="FFFF0000"/>
        <rFont val="Arial"/>
        <family val="3"/>
        <charset val="129"/>
        <scheme val="minor"/>
      </rPr>
      <t xml:space="preserve"> Please Check Debug Sheet)</t>
    </r>
    <phoneticPr fontId="14" type="noConversion"/>
  </si>
  <si>
    <t>Debug Direct</t>
    <phoneticPr fontId="14" type="noConversion"/>
  </si>
  <si>
    <t>BIT_CFG_TAB -&gt; filed BIT_LO_FREQ changed from 10 bits to 15 bits, according to requirement fo 1[Mhz] step</t>
    <phoneticPr fontId="14" type="noConversion"/>
  </si>
  <si>
    <t>Pls/CW</t>
    <phoneticPr fontId="14" type="noConversion"/>
  </si>
  <si>
    <t>BIT_OUT_PWR</t>
    <phoneticPr fontId="14" type="noConversion"/>
  </si>
  <si>
    <t xml:space="preserve">
Register value range:400(400[mhz])  to 18500(18500[mhz])</t>
    <phoneticPr fontId="14" type="noConversion"/>
  </si>
  <si>
    <t>RFISRC</t>
    <phoneticPr fontId="14" type="noConversion"/>
  </si>
  <si>
    <r>
      <t xml:space="preserve"> dictates how channel configurations are applied:
</t>
    </r>
    <r>
      <rPr>
        <b/>
        <sz val="11"/>
        <color theme="1"/>
        <rFont val="Arial"/>
        <family val="2"/>
        <scheme val="minor"/>
      </rPr>
      <t>Single Channel Mode (0x0)</t>
    </r>
    <r>
      <rPr>
        <sz val="11"/>
        <color theme="1"/>
        <rFont val="Arial"/>
        <family val="2"/>
        <scheme val="minor"/>
      </rPr>
      <t xml:space="preserve">: Each of the eight channels is individually configured by the master.
</t>
    </r>
    <r>
      <rPr>
        <b/>
        <sz val="11"/>
        <color theme="1"/>
        <rFont val="Arial"/>
        <family val="2"/>
        <scheme val="minor"/>
      </rPr>
      <t>Common Quad Mode (0x1)</t>
    </r>
    <r>
      <rPr>
        <sz val="11"/>
        <color theme="1"/>
        <rFont val="Arial"/>
        <family val="2"/>
        <scheme val="minor"/>
      </rPr>
      <t xml:space="preserve">: The master fills configurations for channels 1 and 2. Channel 1’s configuration is used for channels 2, 3, and 4, and channel 2’s configuration is used for channels 6, 7, and 8.
</t>
    </r>
    <r>
      <rPr>
        <b/>
        <sz val="11"/>
        <color theme="1"/>
        <rFont val="Arial"/>
        <family val="2"/>
        <scheme val="minor"/>
      </rPr>
      <t>Common Octal Mode (0x2)</t>
    </r>
    <r>
      <rPr>
        <sz val="11"/>
        <color theme="1"/>
        <rFont val="Arial"/>
        <family val="2"/>
        <scheme val="minor"/>
      </rPr>
      <t>: The master configures only channel 1. This configuration is then applied to all remaining channels (2-8).</t>
    </r>
    <phoneticPr fontId="14" type="noConversion"/>
  </si>
  <si>
    <t>1.3fix error bits was [23:16]</t>
    <phoneticPr fontId="14" type="noConversion"/>
  </si>
  <si>
    <r>
      <t xml:space="preserve">Sets the local oscillator (LO) frequency 
LSB = 50 MHz per step
</t>
    </r>
    <r>
      <rPr>
        <b/>
        <i/>
        <sz val="11"/>
        <color theme="1"/>
        <rFont val="Arial"/>
        <family val="2"/>
        <scheme val="minor"/>
      </rPr>
      <t>BIT LO Frequency (MHz) = 10000 + (Register_Value × 50)</t>
    </r>
    <r>
      <rPr>
        <sz val="11"/>
        <color theme="1"/>
        <rFont val="Arial"/>
        <family val="2"/>
        <scheme val="minor"/>
      </rPr>
      <t xml:space="preserve">
Frequency range: 10000 MHz to 16750 MHz</t>
    </r>
    <phoneticPr fontId="14" type="noConversion"/>
  </si>
  <si>
    <t>[9:4]</t>
    <phoneticPr fontId="14" type="noConversion"/>
  </si>
  <si>
    <t>[15:10]</t>
    <phoneticPr fontId="14" type="noConversion"/>
  </si>
  <si>
    <t>[21:16]</t>
    <phoneticPr fontId="14" type="noConversion"/>
  </si>
  <si>
    <t>[23:22]</t>
    <phoneticPr fontId="14" type="noConversion"/>
  </si>
  <si>
    <t>Rserved</t>
    <phoneticPr fontId="14" type="noConversion"/>
  </si>
  <si>
    <t>0x0 : DCA Direct</t>
    <phoneticPr fontId="14" type="noConversion"/>
  </si>
  <si>
    <t>0x1 : Test1 LO Direct</t>
    <phoneticPr fontId="14" type="noConversion"/>
  </si>
  <si>
    <t>0x2 : Test2 LO Direct</t>
    <phoneticPr fontId="14" type="noConversion"/>
  </si>
  <si>
    <t>DCA25 Direct</t>
    <phoneticPr fontId="14" type="noConversion"/>
  </si>
  <si>
    <t>DCA26 Direct</t>
    <phoneticPr fontId="14" type="noConversion"/>
  </si>
  <si>
    <t>LO_PDWN</t>
    <phoneticPr fontId="14" type="noConversion"/>
  </si>
  <si>
    <t>LO_FREQ</t>
    <phoneticPr fontId="14" type="noConversion"/>
  </si>
  <si>
    <t>LO_FREQ
LSB = 50 MHz per step
BIT LO Frequency (MHz) = 10000 + (Register_Value × 50)
Frequency range: 10000 MHz to 16750 MHz</t>
    <phoneticPr fontId="14" type="noConversion"/>
  </si>
  <si>
    <t>0dB</t>
    <phoneticPr fontId="14" type="noConversion"/>
  </si>
  <si>
    <t>00</t>
    <phoneticPr fontId="14" type="noConversion"/>
  </si>
  <si>
    <t>0000</t>
    <phoneticPr fontId="14" type="noConversion"/>
  </si>
  <si>
    <t>10000Mhz</t>
    <phoneticPr fontId="14" type="noConversion"/>
  </si>
  <si>
    <t>0</t>
    <phoneticPr fontId="14" type="noConversion"/>
  </si>
  <si>
    <t>[15]</t>
    <phoneticPr fontId="14" type="noConversion"/>
  </si>
  <si>
    <t>RSVD</t>
    <phoneticPr fontId="14" type="noConversion"/>
  </si>
  <si>
    <t>[22]</t>
    <phoneticPr fontId="14" type="noConversion"/>
  </si>
  <si>
    <t>400Mhz</t>
    <phoneticPr fontId="14" type="noConversion"/>
  </si>
  <si>
    <t xml:space="preserve"> -50dBm</t>
    <phoneticPr fontId="14" type="noConversion"/>
  </si>
  <si>
    <t>Defalut</t>
    <phoneticPr fontId="14" type="noConversion"/>
  </si>
  <si>
    <t>Single Channel Mode (0x0)</t>
    <phoneticPr fontId="14" type="noConversion"/>
  </si>
  <si>
    <r>
      <rPr>
        <strike/>
        <sz val="11"/>
        <color theme="1"/>
        <rFont val="Arial"/>
        <family val="3"/>
        <charset val="129"/>
        <scheme val="minor"/>
      </rPr>
      <t>BIT_LO_FREQ</t>
    </r>
    <r>
      <rPr>
        <sz val="11"/>
        <color theme="1"/>
        <rFont val="Arial"/>
        <family val="2"/>
        <scheme val="minor"/>
      </rPr>
      <t xml:space="preserve">
</t>
    </r>
    <r>
      <rPr>
        <b/>
        <sz val="11"/>
        <color rgb="FFFF0000"/>
        <rFont val="Arial"/>
        <family val="3"/>
        <charset val="129"/>
        <scheme val="minor"/>
      </rPr>
      <t>BIT_FREQ</t>
    </r>
    <phoneticPr fontId="14" type="noConversion"/>
  </si>
  <si>
    <r>
      <t>Sets the l</t>
    </r>
    <r>
      <rPr>
        <strike/>
        <sz val="11"/>
        <color theme="1"/>
        <rFont val="Arial"/>
        <family val="3"/>
        <charset val="129"/>
        <scheme val="minor"/>
      </rPr>
      <t>ocal oscillator (LO)</t>
    </r>
    <r>
      <rPr>
        <sz val="11"/>
        <color theme="1"/>
        <rFont val="Arial"/>
        <family val="2"/>
        <scheme val="minor"/>
      </rPr>
      <t xml:space="preserve"> </t>
    </r>
    <r>
      <rPr>
        <b/>
        <sz val="11"/>
        <color rgb="FFFF0000"/>
        <rFont val="Arial"/>
        <family val="3"/>
        <charset val="129"/>
        <scheme val="minor"/>
      </rPr>
      <t>BIT</t>
    </r>
    <r>
      <rPr>
        <sz val="11"/>
        <color theme="1"/>
        <rFont val="Arial"/>
        <family val="2"/>
        <scheme val="minor"/>
      </rPr>
      <t xml:space="preserve"> frequency for the bit output
LSB = 1 MHz per step </t>
    </r>
    <r>
      <rPr>
        <b/>
        <sz val="11"/>
        <color rgb="FFFF0000"/>
        <rFont val="Arial"/>
        <family val="3"/>
        <charset val="129"/>
        <scheme val="minor"/>
      </rPr>
      <t>--&gt; 25MHz STEP</t>
    </r>
    <r>
      <rPr>
        <sz val="11"/>
        <color theme="1"/>
        <rFont val="Arial"/>
        <family val="2"/>
        <scheme val="minor"/>
      </rPr>
      <t xml:space="preserve">
</t>
    </r>
    <r>
      <rPr>
        <b/>
        <i/>
        <sz val="11"/>
        <color theme="1"/>
        <rFont val="Arial"/>
        <family val="2"/>
        <scheme val="minor"/>
      </rPr>
      <t xml:space="preserve">BIT </t>
    </r>
    <r>
      <rPr>
        <b/>
        <i/>
        <strike/>
        <sz val="11"/>
        <color theme="1"/>
        <rFont val="Arial"/>
        <family val="3"/>
        <charset val="129"/>
        <scheme val="minor"/>
      </rPr>
      <t>LO</t>
    </r>
    <r>
      <rPr>
        <b/>
        <i/>
        <sz val="11"/>
        <color theme="1"/>
        <rFont val="Arial"/>
        <family val="2"/>
        <scheme val="minor"/>
      </rPr>
      <t xml:space="preserve"> Frequency (MHz) = Register_Value [Mhz]</t>
    </r>
    <r>
      <rPr>
        <sz val="11"/>
        <color theme="1"/>
        <rFont val="Arial"/>
        <family val="2"/>
        <scheme val="minor"/>
      </rPr>
      <t xml:space="preserve">
Frequency range: 400 MHz to 18,000 MHz</t>
    </r>
    <phoneticPr fontId="14" type="noConversion"/>
  </si>
  <si>
    <r>
      <rPr>
        <b/>
        <sz val="11"/>
        <color rgb="FFFF0000"/>
        <rFont val="Arial"/>
        <family val="3"/>
        <charset val="129"/>
        <scheme val="minor"/>
      </rPr>
      <t>1ST UNIT (PROTOTYPE)</t>
    </r>
    <r>
      <rPr>
        <sz val="11"/>
        <color theme="1"/>
        <rFont val="Arial"/>
        <family val="2"/>
        <scheme val="minor"/>
      </rPr>
      <t xml:space="preserve">
</t>
    </r>
    <r>
      <rPr>
        <sz val="11"/>
        <color rgb="FF0000FF"/>
        <rFont val="Arial"/>
        <family val="3"/>
        <charset val="129"/>
        <scheme val="minor"/>
      </rPr>
      <t>Only 8EA FREQ.</t>
    </r>
    <r>
      <rPr>
        <sz val="11"/>
        <color theme="1"/>
        <rFont val="Arial"/>
        <family val="2"/>
        <scheme val="minor"/>
      </rPr>
      <t xml:space="preserve">
</t>
    </r>
    <r>
      <rPr>
        <b/>
        <sz val="11"/>
        <color rgb="FFFF0000"/>
        <rFont val="Arial"/>
        <family val="3"/>
        <charset val="129"/>
        <scheme val="minor"/>
      </rPr>
      <t>2ND UNIT (MAIN)</t>
    </r>
    <r>
      <rPr>
        <sz val="11"/>
        <color theme="1"/>
        <rFont val="Arial"/>
        <family val="2"/>
        <scheme val="minor"/>
      </rPr>
      <t xml:space="preserve">
</t>
    </r>
    <r>
      <rPr>
        <sz val="11"/>
        <color rgb="FF0000FF"/>
        <rFont val="Arial"/>
        <family val="3"/>
        <charset val="129"/>
        <scheme val="minor"/>
      </rPr>
      <t>125MHz STEP --&gt; Possible or Not</t>
    </r>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</si>
</sst>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rial"/>
      <family val="2"/>
      <scheme val="minor"/>
    </font>
    <font>
      <sz val="11"/>
      <color theme="1"/>
      <name val="Arial"/>
      <family val="2"/>
      <scheme val="minor"/>
    </font>
    <font>
      <sz val="11"/>
      <color rgb="FF006100"/>
      <name val="Arial"/>
      <family val="2"/>
      <scheme val="minor"/>
    </font>
    <font>
      <sz val="11"/>
      <color rgb="FF9C5700"/>
      <name val="Arial"/>
      <family val="2"/>
      <scheme val="minor"/>
    </font>
    <font>
      <b/>
      <sz val="11"/>
      <color theme="1"/>
      <name val="Arial"/>
      <family val="2"/>
    </font>
    <font>
      <sz val="10"/>
      <color theme="1"/>
      <name val="Arial"/>
      <family val="2"/>
      <scheme val="minor"/>
    </font>
    <font>
      <b/>
      <sz val="10"/>
      <color theme="1"/>
      <name val="Arial"/>
      <family val="2"/>
      <scheme val="minor"/>
    </font>
    <font>
      <b/>
      <sz val="11"/>
      <color theme="1"/>
      <name val="Arial"/>
      <family val="2"/>
      <scheme val="minor"/>
    </font>
    <font>
      <b/>
      <i/>
      <sz val="11"/>
      <color theme="1"/>
      <name val="Arial"/>
      <family val="2"/>
      <scheme val="minor"/>
    </font>
    <font>
      <sz val="11"/>
      <color theme="1"/>
      <name val="Arial"/>
      <family val="2"/>
    </font>
    <font>
      <b/>
      <sz val="11"/>
      <color rgb="FFFFFFFF"/>
      <name val="Arial"/>
      <family val="2"/>
    </font>
    <font>
      <sz val="11"/>
      <color rgb="FF000000"/>
      <name val="Arial"/>
      <family val="2"/>
    </font>
    <font>
      <b/>
      <sz val="11"/>
      <color rgb="FF000000"/>
      <name val="Arial"/>
      <family val="2"/>
    </font>
    <font>
      <sz val="11"/>
      <color rgb="FF3F3F76"/>
      <name val="Arial"/>
      <family val="2"/>
    </font>
    <font>
      <sz val="8"/>
      <name val="Arial"/>
      <family val="3"/>
      <charset val="129"/>
      <scheme val="minor"/>
    </font>
    <font>
      <b/>
      <sz val="36"/>
      <color theme="1"/>
      <name val="Arial"/>
      <family val="3"/>
      <charset val="129"/>
      <scheme val="minor"/>
    </font>
    <font>
      <b/>
      <sz val="18"/>
      <color theme="1"/>
      <name val="Arial"/>
      <family val="3"/>
      <charset val="129"/>
      <scheme val="minor"/>
    </font>
    <font>
      <b/>
      <sz val="11"/>
      <color rgb="FF0000FF"/>
      <name val="Arial"/>
      <family val="3"/>
      <charset val="129"/>
      <scheme val="minor"/>
    </font>
    <font>
      <sz val="11"/>
      <color rgb="FFFF0000"/>
      <name val="Arial"/>
      <family val="2"/>
      <scheme val="minor"/>
    </font>
    <font>
      <sz val="11"/>
      <color rgb="FFFF0000"/>
      <name val="Arial"/>
      <family val="3"/>
      <charset val="129"/>
      <scheme val="minor"/>
    </font>
    <font>
      <sz val="6"/>
      <color theme="1"/>
      <name val="Arial"/>
      <family val="2"/>
      <scheme val="minor"/>
    </font>
    <font>
      <b/>
      <sz val="10"/>
      <color rgb="FFFF0000"/>
      <name val="Arial"/>
      <family val="3"/>
      <charset val="129"/>
      <scheme val="minor"/>
    </font>
    <font>
      <strike/>
      <sz val="11"/>
      <color theme="1"/>
      <name val="Arial"/>
      <family val="3"/>
      <charset val="129"/>
      <scheme val="minor"/>
    </font>
    <font>
      <sz val="11"/>
      <color theme="1"/>
      <name val="Arial"/>
      <family val="3"/>
      <charset val="129"/>
      <scheme val="minor"/>
    </font>
    <font>
      <b/>
      <i/>
      <strike/>
      <sz val="11"/>
      <color theme="1"/>
      <name val="Arial"/>
      <family val="3"/>
      <charset val="129"/>
      <scheme val="minor"/>
    </font>
    <font>
      <b/>
      <sz val="11"/>
      <color rgb="FFFF0000"/>
      <name val="Arial"/>
      <family val="3"/>
      <charset val="129"/>
      <scheme val="minor"/>
    </font>
    <font>
      <sz val="11"/>
      <color rgb="FF0000FF"/>
      <name val="Arial"/>
      <family val="3"/>
      <charset val="129"/>
      <scheme val="minor"/>
    </font>
  </fonts>
  <fills count="17">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5" tint="0.39997558519241921"/>
        <bgColor indexed="64"/>
      </patternFill>
    </fill>
    <fill>
      <patternFill patternType="solid">
        <fgColor rgb="FFFFCC99"/>
        <bgColor indexed="64"/>
      </patternFill>
    </fill>
    <fill>
      <patternFill patternType="solid">
        <fgColor theme="5" tint="0.79998168889431442"/>
        <bgColor indexed="64"/>
      </patternFill>
    </fill>
    <fill>
      <patternFill patternType="solid">
        <fgColor rgb="FFFFFF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7F7F7F"/>
      </right>
      <top/>
      <bottom style="medium">
        <color rgb="FF7F7F7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253">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2" borderId="6" xfId="0" applyFont="1" applyFill="1" applyBorder="1" applyAlignment="1">
      <alignment horizontal="center" vertical="center"/>
    </xf>
    <xf numFmtId="0" fontId="0" fillId="0" borderId="1" xfId="0" applyBorder="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0" fontId="0" fillId="13" borderId="1" xfId="0" applyFill="1" applyBorder="1"/>
    <xf numFmtId="0" fontId="12" fillId="0" borderId="41"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8" xfId="0" applyFont="1" applyBorder="1" applyAlignment="1">
      <alignment horizontal="left" vertical="center" wrapText="1" readingOrder="1"/>
    </xf>
    <xf numFmtId="0" fontId="13" fillId="14" borderId="43" xfId="0" applyFont="1" applyFill="1" applyBorder="1" applyAlignment="1">
      <alignment horizontal="left" vertical="center" wrapText="1" readingOrder="1"/>
    </xf>
    <xf numFmtId="0" fontId="9" fillId="0" borderId="43" xfId="0" applyFont="1" applyBorder="1" applyAlignment="1">
      <alignment horizontal="left" vertical="center" wrapText="1" readingOrder="1"/>
    </xf>
    <xf numFmtId="0" fontId="11" fillId="5" borderId="18" xfId="0" applyFont="1" applyFill="1" applyBorder="1" applyAlignment="1">
      <alignment horizontal="left" vertical="center" wrapText="1" readingOrder="1"/>
    </xf>
    <xf numFmtId="0" fontId="11" fillId="0" borderId="42" xfId="0" applyFont="1" applyBorder="1" applyAlignment="1">
      <alignment horizontal="left" vertical="center" wrapText="1" readingOrder="1"/>
    </xf>
    <xf numFmtId="0" fontId="11" fillId="0" borderId="44" xfId="0" applyFont="1" applyBorder="1" applyAlignment="1">
      <alignment horizontal="left" vertical="center" readingOrder="1"/>
    </xf>
    <xf numFmtId="0" fontId="12" fillId="0" borderId="40" xfId="0" applyFont="1" applyBorder="1" applyAlignment="1">
      <alignment horizontal="center" vertical="center" wrapText="1" readingOrder="1"/>
    </xf>
    <xf numFmtId="0" fontId="11" fillId="5" borderId="42" xfId="0" applyFont="1" applyFill="1" applyBorder="1" applyAlignment="1">
      <alignment horizontal="left" vertical="center" wrapText="1" readingOrder="1"/>
    </xf>
    <xf numFmtId="0" fontId="5" fillId="15" borderId="1" xfId="0" applyFont="1" applyFill="1" applyBorder="1" applyAlignment="1">
      <alignment horizontal="center" vertical="center" textRotation="180"/>
    </xf>
    <xf numFmtId="0" fontId="0" fillId="15" borderId="0" xfId="0" applyFill="1"/>
    <xf numFmtId="0" fontId="0" fillId="0" borderId="3" xfId="0" applyBorder="1"/>
    <xf numFmtId="0" fontId="0" fillId="0" borderId="40" xfId="0" applyBorder="1"/>
    <xf numFmtId="1" fontId="5" fillId="0" borderId="3" xfId="0" applyNumberFormat="1" applyFont="1" applyBorder="1" applyAlignment="1">
      <alignment vertical="center"/>
    </xf>
    <xf numFmtId="0" fontId="5" fillId="0" borderId="1" xfId="0" applyFont="1" applyBorder="1" applyAlignment="1">
      <alignment horizontal="center" vertical="center" wrapText="1"/>
    </xf>
    <xf numFmtId="0" fontId="1" fillId="4" borderId="22" xfId="2" applyFont="1" applyBorder="1" applyAlignment="1">
      <alignment horizontal="center" vertical="center"/>
    </xf>
    <xf numFmtId="2" fontId="0" fillId="4" borderId="22" xfId="2" applyNumberFormat="1" applyFont="1" applyBorder="1" applyAlignment="1">
      <alignment horizontal="center" vertical="center"/>
    </xf>
    <xf numFmtId="49" fontId="1" fillId="4" borderId="22" xfId="2" applyNumberFormat="1" applyFont="1" applyBorder="1" applyAlignment="1">
      <alignment horizontal="center" vertical="center"/>
    </xf>
    <xf numFmtId="0" fontId="0" fillId="0" borderId="22" xfId="0" applyBorder="1" applyAlignment="1">
      <alignment horizontal="center" vertical="center"/>
    </xf>
    <xf numFmtId="0" fontId="0" fillId="0" borderId="0" xfId="0" applyAlignment="1">
      <alignment vertical="center"/>
    </xf>
    <xf numFmtId="0" fontId="0" fillId="0" borderId="44" xfId="0" applyBorder="1" applyAlignment="1">
      <alignment vertical="center"/>
    </xf>
    <xf numFmtId="0" fontId="0" fillId="0" borderId="40" xfId="0" applyBorder="1" applyAlignment="1">
      <alignment vertical="center"/>
    </xf>
    <xf numFmtId="46" fontId="1" fillId="4" borderId="22" xfId="2" applyNumberFormat="1" applyFont="1" applyBorder="1" applyAlignment="1">
      <alignment horizontal="center" vertical="center"/>
    </xf>
    <xf numFmtId="49" fontId="0" fillId="0" borderId="1" xfId="0" applyNumberFormat="1" applyBorder="1"/>
    <xf numFmtId="0" fontId="20" fillId="0" borderId="1" xfId="0" applyFont="1" applyBorder="1" applyAlignment="1">
      <alignment horizontal="center" vertical="center" wrapText="1"/>
    </xf>
    <xf numFmtId="0" fontId="5" fillId="0" borderId="0" xfId="0" applyFont="1" applyAlignment="1">
      <alignment horizontal="center" vertical="center"/>
    </xf>
    <xf numFmtId="1" fontId="5" fillId="0" borderId="0" xfId="0" applyNumberFormat="1" applyFont="1" applyAlignment="1">
      <alignment vertical="center"/>
    </xf>
    <xf numFmtId="49" fontId="5" fillId="0" borderId="0" xfId="0" applyNumberFormat="1" applyFont="1" applyAlignment="1">
      <alignment vertical="center"/>
    </xf>
    <xf numFmtId="1" fontId="0" fillId="16" borderId="1" xfId="0" applyNumberFormat="1" applyFill="1" applyBorder="1" applyAlignment="1">
      <alignment horizontal="center" vertical="center"/>
    </xf>
    <xf numFmtId="0" fontId="0" fillId="16" borderId="1" xfId="0" applyFill="1" applyBorder="1" applyAlignment="1">
      <alignment horizontal="center" vertical="center"/>
    </xf>
    <xf numFmtId="0" fontId="0" fillId="16" borderId="0" xfId="0" applyFill="1"/>
    <xf numFmtId="49" fontId="0" fillId="16" borderId="1" xfId="0" applyNumberFormat="1" applyFill="1" applyBorder="1" applyAlignment="1">
      <alignment horizontal="center" vertical="center"/>
    </xf>
    <xf numFmtId="0" fontId="0" fillId="16" borderId="5" xfId="0" applyFill="1" applyBorder="1" applyAlignment="1">
      <alignment horizontal="center" vertical="center"/>
    </xf>
    <xf numFmtId="49" fontId="0" fillId="0" borderId="0" xfId="0" applyNumberFormat="1" applyAlignment="1">
      <alignment horizontal="center" vertical="center"/>
    </xf>
    <xf numFmtId="0" fontId="0" fillId="16" borderId="1" xfId="0" applyFill="1" applyBorder="1"/>
    <xf numFmtId="49" fontId="0" fillId="16" borderId="0" xfId="0" applyNumberFormat="1" applyFill="1" applyAlignment="1">
      <alignment horizontal="center" vertical="center"/>
    </xf>
    <xf numFmtId="0" fontId="0" fillId="16" borderId="0" xfId="0" applyFill="1" applyAlignment="1">
      <alignment horizontal="center" vertical="center"/>
    </xf>
    <xf numFmtId="0" fontId="0" fillId="0" borderId="1" xfId="0" applyFill="1" applyBorder="1" applyAlignment="1">
      <alignment horizontal="center" vertical="center"/>
    </xf>
    <xf numFmtId="0" fontId="23" fillId="10" borderId="1" xfId="0" applyFont="1" applyFill="1" applyBorder="1" applyAlignment="1">
      <alignment wrapText="1"/>
    </xf>
    <xf numFmtId="0" fontId="0" fillId="0" borderId="1" xfId="0" applyBorder="1"/>
    <xf numFmtId="0" fontId="0" fillId="0" borderId="6" xfId="0" applyBorder="1"/>
    <xf numFmtId="0" fontId="0" fillId="0" borderId="23" xfId="0" applyBorder="1"/>
    <xf numFmtId="0" fontId="2" fillId="3" borderId="2" xfId="1" applyBorder="1" applyAlignment="1">
      <alignment horizontal="center" vertical="center"/>
    </xf>
    <xf numFmtId="0" fontId="2" fillId="3" borderId="4" xfId="1" applyBorder="1" applyAlignment="1">
      <alignment horizontal="center" vertical="center"/>
    </xf>
    <xf numFmtId="0" fontId="2" fillId="3" borderId="3" xfId="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16" fillId="0" borderId="50" xfId="0" applyFont="1" applyBorder="1" applyAlignment="1">
      <alignment horizontal="center" vertical="center"/>
    </xf>
    <xf numFmtId="0" fontId="16" fillId="0" borderId="51" xfId="0" applyFont="1" applyBorder="1" applyAlignment="1">
      <alignment horizontal="center" vertical="center"/>
    </xf>
    <xf numFmtId="0" fontId="16" fillId="0" borderId="41" xfId="0" applyFont="1" applyBorder="1" applyAlignment="1">
      <alignment horizontal="center" vertical="center"/>
    </xf>
    <xf numFmtId="0" fontId="0" fillId="0" borderId="44" xfId="0" applyBorder="1" applyAlignment="1">
      <alignment horizontal="left" vertical="top" wrapText="1"/>
    </xf>
    <xf numFmtId="0" fontId="0" fillId="0" borderId="52" xfId="0" applyBorder="1" applyAlignment="1">
      <alignment horizontal="left" vertical="top" wrapText="1"/>
    </xf>
    <xf numFmtId="0" fontId="0" fillId="0" borderId="42" xfId="0" applyBorder="1" applyAlignment="1">
      <alignment horizontal="left" vertical="top" wrapText="1"/>
    </xf>
    <xf numFmtId="0" fontId="0" fillId="0" borderId="52" xfId="0" applyBorder="1" applyAlignment="1">
      <alignment horizontal="left" vertical="top"/>
    </xf>
    <xf numFmtId="0" fontId="0" fillId="0" borderId="42" xfId="0" applyBorder="1" applyAlignment="1">
      <alignment horizontal="left" vertical="top"/>
    </xf>
    <xf numFmtId="0" fontId="0" fillId="0" borderId="1" xfId="0" applyBorder="1" applyAlignment="1">
      <alignment horizontal="center" vertical="center" wrapText="1"/>
    </xf>
    <xf numFmtId="0" fontId="0" fillId="0" borderId="1" xfId="0" applyBorder="1" applyAlignment="1">
      <alignment horizontal="center" vertical="center"/>
    </xf>
    <xf numFmtId="49" fontId="5" fillId="0" borderId="2" xfId="0" applyNumberFormat="1" applyFont="1" applyBorder="1" applyAlignment="1">
      <alignment horizontal="center" vertical="center"/>
    </xf>
    <xf numFmtId="49" fontId="5" fillId="0" borderId="4" xfId="0" applyNumberFormat="1" applyFont="1" applyBorder="1" applyAlignment="1">
      <alignment horizontal="center" vertical="center"/>
    </xf>
    <xf numFmtId="49" fontId="5" fillId="0" borderId="3" xfId="0" applyNumberFormat="1" applyFont="1" applyBorder="1" applyAlignment="1">
      <alignment horizontal="center" vertical="center"/>
    </xf>
    <xf numFmtId="0" fontId="15" fillId="0" borderId="2" xfId="0" applyFont="1" applyBorder="1" applyAlignment="1">
      <alignment horizontal="center"/>
    </xf>
    <xf numFmtId="0" fontId="15" fillId="0" borderId="4" xfId="0" applyFont="1" applyBorder="1" applyAlignment="1">
      <alignment horizontal="center"/>
    </xf>
    <xf numFmtId="0" fontId="15" fillId="0" borderId="3" xfId="0" applyFont="1" applyBorder="1" applyAlignment="1">
      <alignment horizontal="center"/>
    </xf>
    <xf numFmtId="0" fontId="0" fillId="0" borderId="6" xfId="0" applyBorder="1" applyAlignment="1">
      <alignment horizontal="center"/>
    </xf>
    <xf numFmtId="0" fontId="0" fillId="0" borderId="23" xfId="0" applyBorder="1" applyAlignment="1">
      <alignment horizontal="center"/>
    </xf>
    <xf numFmtId="0" fontId="0" fillId="0" borderId="22" xfId="0" applyBorder="1" applyAlignment="1">
      <alignment horizontal="center"/>
    </xf>
    <xf numFmtId="0" fontId="0" fillId="0" borderId="24" xfId="0" applyBorder="1" applyAlignment="1">
      <alignment horizontal="center" vertical="center" wrapText="1"/>
    </xf>
    <xf numFmtId="0" fontId="0" fillId="0" borderId="48" xfId="0" applyBorder="1" applyAlignment="1">
      <alignment horizontal="center" vertical="center" wrapText="1"/>
    </xf>
    <xf numFmtId="0" fontId="0" fillId="0" borderId="25"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28" xfId="0" applyBorder="1" applyAlignment="1">
      <alignment horizontal="center" vertical="center" wrapText="1"/>
    </xf>
    <xf numFmtId="0" fontId="0" fillId="0" borderId="26" xfId="0" applyBorder="1" applyAlignment="1">
      <alignment horizontal="center" vertical="center" wrapText="1"/>
    </xf>
    <xf numFmtId="0" fontId="0" fillId="0" borderId="49" xfId="0" applyBorder="1" applyAlignment="1">
      <alignment horizontal="center" vertical="center" wrapText="1"/>
    </xf>
    <xf numFmtId="0" fontId="0" fillId="0" borderId="27" xfId="0" applyBorder="1" applyAlignment="1">
      <alignment horizontal="center" vertical="center" wrapText="1"/>
    </xf>
    <xf numFmtId="49" fontId="5" fillId="0" borderId="2"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49" fontId="5" fillId="0" borderId="3" xfId="0" applyNumberFormat="1" applyFont="1" applyBorder="1" applyAlignment="1">
      <alignment horizontal="center" vertical="center" wrapText="1"/>
    </xf>
    <xf numFmtId="0" fontId="5" fillId="0" borderId="6" xfId="0" applyFont="1" applyBorder="1" applyAlignment="1">
      <alignment horizontal="center" vertical="center" wrapText="1"/>
    </xf>
    <xf numFmtId="0" fontId="5" fillId="0" borderId="23" xfId="0" applyFont="1" applyBorder="1" applyAlignment="1">
      <alignment horizontal="center" vertical="center"/>
    </xf>
    <xf numFmtId="0" fontId="5" fillId="0" borderId="22" xfId="0" applyFont="1" applyBorder="1" applyAlignment="1">
      <alignment horizontal="center" vertical="center"/>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2" xfId="0" applyFont="1" applyBorder="1" applyAlignment="1">
      <alignment horizontal="center" vertical="center" wrapText="1"/>
    </xf>
    <xf numFmtId="0" fontId="11" fillId="0" borderId="45" xfId="0" applyFont="1" applyBorder="1" applyAlignment="1">
      <alignment horizontal="left" vertical="center" wrapText="1" readingOrder="1"/>
    </xf>
    <xf numFmtId="0" fontId="0" fillId="0" borderId="46" xfId="0" applyBorder="1" applyAlignment="1">
      <alignment wrapText="1"/>
    </xf>
    <xf numFmtId="0" fontId="0" fillId="0" borderId="47" xfId="0" applyBorder="1" applyAlignment="1">
      <alignment wrapText="1"/>
    </xf>
    <xf numFmtId="0" fontId="0" fillId="0" borderId="46" xfId="0" applyBorder="1" applyAlignment="1">
      <alignment horizontal="left" vertical="center" readingOrder="1"/>
    </xf>
    <xf numFmtId="0" fontId="0" fillId="0" borderId="47" xfId="0" applyBorder="1" applyAlignment="1">
      <alignment horizontal="left" vertical="center" readingOrder="1"/>
    </xf>
    <xf numFmtId="0" fontId="11" fillId="0" borderId="45" xfId="0" applyFont="1" applyBorder="1" applyAlignment="1">
      <alignment horizontal="left" vertical="center" readingOrder="1"/>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2" fillId="3" borderId="1" xfId="1" applyBorder="1" applyAlignment="1">
      <alignment horizontal="center" vertical="center"/>
    </xf>
    <xf numFmtId="0" fontId="18" fillId="0" borderId="50" xfId="0" applyFont="1" applyBorder="1" applyAlignment="1">
      <alignment horizontal="center" vertical="center"/>
    </xf>
    <xf numFmtId="0" fontId="19" fillId="0" borderId="51" xfId="0" applyFont="1" applyBorder="1" applyAlignment="1">
      <alignment horizontal="center" vertical="center"/>
    </xf>
    <xf numFmtId="0" fontId="19" fillId="0" borderId="41"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4" fillId="12" borderId="39" xfId="0" applyFont="1" applyFill="1" applyBorder="1" applyAlignment="1">
      <alignment horizontal="center" vertical="center" wrapText="1"/>
    </xf>
    <xf numFmtId="0" fontId="4" fillId="12" borderId="37" xfId="0" applyFont="1" applyFill="1" applyBorder="1" applyAlignment="1">
      <alignment horizontal="center" vertical="center" wrapText="1"/>
    </xf>
    <xf numFmtId="0" fontId="4" fillId="12" borderId="35" xfId="0" applyFont="1" applyFill="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7"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0" fontId="9" fillId="12" borderId="37" xfId="0" applyFont="1" applyFill="1" applyBorder="1" applyAlignment="1">
      <alignment horizontal="center" vertical="center" wrapText="1"/>
    </xf>
    <xf numFmtId="0" fontId="0" fillId="16" borderId="5" xfId="0" applyFill="1" applyBorder="1" applyAlignment="1">
      <alignment horizontal="center" vertical="center"/>
    </xf>
    <xf numFmtId="0" fontId="0" fillId="9" borderId="6" xfId="0" applyFill="1" applyBorder="1" applyAlignment="1">
      <alignment horizontal="left" vertical="center" wrapText="1"/>
    </xf>
    <xf numFmtId="0" fontId="0" fillId="9" borderId="23"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0" fontId="0" fillId="0" borderId="1" xfId="0" applyFill="1" applyBorder="1" applyAlignment="1">
      <alignment horizontal="center" vertical="center"/>
    </xf>
    <xf numFmtId="0" fontId="0" fillId="16" borderId="26" xfId="0" applyFill="1" applyBorder="1" applyAlignment="1">
      <alignment horizontal="center" vertical="center"/>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4" xfId="0" applyNumberFormat="1" applyFill="1" applyBorder="1" applyAlignment="1">
      <alignment horizontal="center" vertical="center" wrapText="1"/>
    </xf>
    <xf numFmtId="0" fontId="0" fillId="0" borderId="5" xfId="0" applyBorder="1" applyAlignment="1">
      <alignment horizontal="center" vertical="center"/>
    </xf>
    <xf numFmtId="0" fontId="0" fillId="0" borderId="28" xfId="0" applyBorder="1" applyAlignment="1">
      <alignment horizontal="center" vertical="center"/>
    </xf>
    <xf numFmtId="0" fontId="0" fillId="0" borderId="2" xfId="0" applyBorder="1" applyAlignment="1">
      <alignment horizontal="center" vertical="center"/>
    </xf>
    <xf numFmtId="49" fontId="23" fillId="9" borderId="1" xfId="0" applyNumberFormat="1" applyFont="1" applyFill="1" applyBorder="1" applyAlignment="1">
      <alignment horizontal="center" vertical="center" wrapText="1"/>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6" borderId="2" xfId="0" applyFill="1" applyBorder="1" applyAlignment="1">
      <alignment horizontal="center"/>
    </xf>
    <xf numFmtId="0" fontId="0" fillId="6" borderId="3" xfId="0" applyFill="1" applyBorder="1" applyAlignment="1">
      <alignment horizontal="center"/>
    </xf>
    <xf numFmtId="0" fontId="5" fillId="0" borderId="1" xfId="0" applyFont="1" applyBorder="1" applyAlignment="1">
      <alignment horizontal="center" vertical="center" textRotation="180"/>
    </xf>
    <xf numFmtId="49" fontId="0" fillId="10" borderId="1" xfId="0" applyNumberFormat="1" applyFill="1" applyBorder="1" applyAlignment="1">
      <alignment horizontal="center" vertical="center"/>
    </xf>
    <xf numFmtId="0" fontId="0" fillId="9" borderId="1" xfId="0" applyFill="1" applyBorder="1"/>
    <xf numFmtId="0" fontId="0" fillId="10" borderId="1" xfId="0" applyFill="1" applyBorder="1" applyAlignment="1">
      <alignment horizontal="center" vertical="center"/>
    </xf>
    <xf numFmtId="0" fontId="0" fillId="13" borderId="1" xfId="0" applyFill="1" applyBorder="1"/>
    <xf numFmtId="0" fontId="0" fillId="0" borderId="0" xfId="0" applyAlignment="1">
      <alignment wrapText="1"/>
    </xf>
    <xf numFmtId="0" fontId="0" fillId="0" borderId="0" xfId="0"/>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image" Target="../media/image17.png"/><Relationship Id="rId26" Type="http://schemas.openxmlformats.org/officeDocument/2006/relationships/customXml" Target="../ink/ink14.xml"/><Relationship Id="rId3" Type="http://schemas.openxmlformats.org/officeDocument/2006/relationships/image" Target="../media/image11.png"/><Relationship Id="rId34" Type="http://schemas.openxmlformats.org/officeDocument/2006/relationships/customXml" Target="../ink/ink18.xml"/><Relationship Id="rId21" Type="http://schemas.openxmlformats.org/officeDocument/2006/relationships/image" Target="../media/image21.png"/><Relationship Id="rId7" Type="http://schemas.openxmlformats.org/officeDocument/2006/relationships/image" Target="../media/image14.png"/><Relationship Id="rId12" Type="http://schemas.openxmlformats.org/officeDocument/2006/relationships/customXml" Target="../ink/ink9.xml"/><Relationship Id="rId25" Type="http://schemas.openxmlformats.org/officeDocument/2006/relationships/image" Target="../media/image23.png"/><Relationship Id="rId33" Type="http://schemas.openxmlformats.org/officeDocument/2006/relationships/image" Target="../media/image27.png"/><Relationship Id="rId38" Type="http://schemas.openxmlformats.org/officeDocument/2006/relationships/customXml" Target="../ink/ink21.xml"/><Relationship Id="rId2" Type="http://schemas.openxmlformats.org/officeDocument/2006/relationships/image" Target="../media/image10.png"/><Relationship Id="rId16" Type="http://schemas.openxmlformats.org/officeDocument/2006/relationships/customXml" Target="../ink/ink11.xml"/><Relationship Id="rId20" Type="http://schemas.openxmlformats.org/officeDocument/2006/relationships/customXml" Target="../ink/ink12.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3.xml"/><Relationship Id="rId32" Type="http://schemas.openxmlformats.org/officeDocument/2006/relationships/customXml" Target="../ink/ink17.xml"/><Relationship Id="rId37" Type="http://schemas.openxmlformats.org/officeDocument/2006/relationships/customXml" Target="../ink/ink20.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5.xml"/><Relationship Id="rId36" Type="http://schemas.openxmlformats.org/officeDocument/2006/relationships/customXml" Target="../ink/ink19.xml"/><Relationship Id="rId10" Type="http://schemas.openxmlformats.org/officeDocument/2006/relationships/customXml" Target="../ink/ink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9" Type="http://schemas.openxmlformats.org/officeDocument/2006/relationships/image" Target="../media/image15.png"/><Relationship Id="rId14" Type="http://schemas.openxmlformats.org/officeDocument/2006/relationships/customXml" Target="../ink/ink10.xml"/><Relationship Id="rId27" Type="http://schemas.openxmlformats.org/officeDocument/2006/relationships/image" Target="../media/image24.png"/><Relationship Id="rId30" Type="http://schemas.openxmlformats.org/officeDocument/2006/relationships/customXml" Target="../ink/ink16.xml"/><Relationship Id="rId35" Type="http://schemas.openxmlformats.org/officeDocument/2006/relationships/image" Target="../media/image2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53941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2184346</xdr:colOff>
      <xdr:row>13</xdr:row>
      <xdr:rowOff>0</xdr:rowOff>
    </xdr:from>
    <xdr:to>
      <xdr:col>33</xdr:col>
      <xdr:colOff>312963</xdr:colOff>
      <xdr:row>42</xdr:row>
      <xdr:rowOff>153993</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7596" y="3248106"/>
          <a:ext cx="13409438" cy="5369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57750</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13</xdr:col>
      <xdr:colOff>299356</xdr:colOff>
      <xdr:row>3</xdr:row>
      <xdr:rowOff>0</xdr:rowOff>
    </xdr:from>
    <xdr:to>
      <xdr:col>14</xdr:col>
      <xdr:colOff>93617</xdr:colOff>
      <xdr:row>15</xdr:row>
      <xdr:rowOff>100229</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flipH="1">
            <a:off x="11375570" y="1102179"/>
            <a:ext cx="176894" cy="3156857"/>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54824</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173577</xdr:colOff>
      <xdr:row>15</xdr:row>
      <xdr:rowOff>173416</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358585</xdr:colOff>
      <xdr:row>3</xdr:row>
      <xdr:rowOff>27213</xdr:rowOff>
    </xdr:from>
    <xdr:to>
      <xdr:col>10</xdr:col>
      <xdr:colOff>190499</xdr:colOff>
      <xdr:row>19</xdr:row>
      <xdr:rowOff>96237</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65228" y="1129392"/>
            <a:ext cx="199307" cy="3859893"/>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9</xdr:col>
      <xdr:colOff>258536</xdr:colOff>
      <xdr:row>3</xdr:row>
      <xdr:rowOff>81642</xdr:rowOff>
    </xdr:from>
    <xdr:to>
      <xdr:col>26</xdr:col>
      <xdr:colOff>320214</xdr:colOff>
      <xdr:row>15</xdr:row>
      <xdr:rowOff>211556</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9865179" y="1183821"/>
            <a:ext cx="6314976" cy="3201782"/>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13</xdr:col>
      <xdr:colOff>299357</xdr:colOff>
      <xdr:row>2</xdr:row>
      <xdr:rowOff>707571</xdr:rowOff>
    </xdr:from>
    <xdr:to>
      <xdr:col>22</xdr:col>
      <xdr:colOff>340179</xdr:colOff>
      <xdr:row>15</xdr:row>
      <xdr:rowOff>173979</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1375571" y="1061357"/>
            <a:ext cx="3347358" cy="326571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711200</xdr:colOff>
      <xdr:row>12</xdr:row>
      <xdr:rowOff>126999</xdr:rowOff>
    </xdr:from>
    <xdr:to>
      <xdr:col>34</xdr:col>
      <xdr:colOff>284480</xdr:colOff>
      <xdr:row>22</xdr:row>
      <xdr:rowOff>135983</xdr:rowOff>
    </xdr:to>
    <xdr:pic>
      <xdr:nvPicPr>
        <xdr:cNvPr id="11" name="Picture 10">
          <a:extLst>
            <a:ext uri="{FF2B5EF4-FFF2-40B4-BE49-F238E27FC236}">
              <a16:creationId xmlns:a16="http://schemas.microsoft.com/office/drawing/2014/main" id="{95086729-D26D-4281-92DA-25CFC0B49758}"/>
            </a:ext>
          </a:extLst>
        </xdr:cNvPr>
        <xdr:cNvPicPr>
          <a:picLocks noChangeAspect="1"/>
        </xdr:cNvPicPr>
      </xdr:nvPicPr>
      <xdr:blipFill>
        <a:blip xmlns:r="http://schemas.openxmlformats.org/officeDocument/2006/relationships" r:embed="rId1"/>
        <a:stretch>
          <a:fillRect/>
        </a:stretch>
      </xdr:blipFill>
      <xdr:spPr>
        <a:xfrm>
          <a:off x="3048000" y="4229099"/>
          <a:ext cx="16408400" cy="2754313"/>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96613</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1147</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57751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18026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2454487</xdr:colOff>
      <xdr:row>76</xdr:row>
      <xdr:rowOff>16319</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4</xdr:col>
      <xdr:colOff>1618963</xdr:colOff>
      <xdr:row>9</xdr:row>
      <xdr:rowOff>26867</xdr:rowOff>
    </xdr:from>
    <xdr:to>
      <xdr:col>38</xdr:col>
      <xdr:colOff>40838</xdr:colOff>
      <xdr:row>14</xdr:row>
      <xdr:rowOff>19277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DA300E10-A632-8195-AB7C-6657F0FCA478}"/>
                </a:ext>
              </a:extLst>
            </xdr14:cNvPr>
            <xdr14:cNvContentPartPr/>
          </xdr14:nvContentPartPr>
          <xdr14:nvPr macro=""/>
          <xdr14:xfrm>
            <a:off x="4408427" y="3632760"/>
            <a:ext cx="15117840" cy="933480"/>
          </xdr14:xfrm>
        </xdr:contentPart>
      </mc:Choice>
      <mc:Fallback xmlns="">
        <xdr:pic>
          <xdr:nvPicPr>
            <xdr:cNvPr id="12" name="Ink 11">
              <a:extLst>
                <a:ext uri="{FF2B5EF4-FFF2-40B4-BE49-F238E27FC236}">
                  <a16:creationId xmlns:a16="http://schemas.microsoft.com/office/drawing/2014/main" id="{DA300E10-A632-8195-AB7C-6657F0FCA478}"/>
                </a:ext>
              </a:extLst>
            </xdr:cNvPr>
            <xdr:cNvPicPr/>
          </xdr:nvPicPr>
          <xdr:blipFill>
            <a:blip xmlns:r="http://schemas.openxmlformats.org/officeDocument/2006/relationships" r:embed="rId9"/>
            <a:stretch>
              <a:fillRect/>
            </a:stretch>
          </xdr:blipFill>
          <xdr:spPr>
            <a:xfrm>
              <a:off x="4403720" y="3628080"/>
              <a:ext cx="15126530" cy="942120"/>
            </a:xfrm>
            <a:prstGeom prst="rect">
              <a:avLst/>
            </a:prstGeom>
          </xdr:spPr>
        </xdr:pic>
      </mc:Fallback>
    </mc:AlternateContent>
    <xdr:clientData/>
  </xdr:twoCellAnchor>
  <xdr:twoCellAnchor editAs="oneCell">
    <xdr:from>
      <xdr:col>33</xdr:col>
      <xdr:colOff>334416</xdr:colOff>
      <xdr:row>15</xdr:row>
      <xdr:rowOff>25322</xdr:rowOff>
    </xdr:from>
    <xdr:to>
      <xdr:col>38</xdr:col>
      <xdr:colOff>97808</xdr:colOff>
      <xdr:row>16</xdr:row>
      <xdr:rowOff>53717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8731273" y="5073572"/>
            <a:ext cx="3678439" cy="249919"/>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12</xdr:row>
      <xdr:rowOff>95087</xdr:rowOff>
    </xdr:from>
    <xdr:to>
      <xdr:col>38</xdr:col>
      <xdr:colOff>169298</xdr:colOff>
      <xdr:row>18</xdr:row>
      <xdr:rowOff>284148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18</xdr:row>
      <xdr:rowOff>313462</xdr:rowOff>
    </xdr:from>
    <xdr:to>
      <xdr:col>24</xdr:col>
      <xdr:colOff>244929</xdr:colOff>
      <xdr:row>24</xdr:row>
      <xdr:rowOff>169275</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5</xdr:col>
      <xdr:colOff>981197</xdr:colOff>
      <xdr:row>5</xdr:row>
      <xdr:rowOff>597637</xdr:rowOff>
    </xdr:from>
    <xdr:to>
      <xdr:col>38</xdr:col>
      <xdr:colOff>152400</xdr:colOff>
      <xdr:row>16</xdr:row>
      <xdr:rowOff>54699</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927518" y="2883637"/>
            <a:ext cx="15608632" cy="1968668"/>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37</xdr:col>
      <xdr:colOff>904041</xdr:colOff>
      <xdr:row>20</xdr:row>
      <xdr:rowOff>108227</xdr:rowOff>
    </xdr:from>
    <xdr:to>
      <xdr:col>38</xdr:col>
      <xdr:colOff>21098</xdr:colOff>
      <xdr:row>22</xdr:row>
      <xdr:rowOff>282949</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1473199</xdr:colOff>
      <xdr:row>16</xdr:row>
      <xdr:rowOff>0</xdr:rowOff>
    </xdr:from>
    <xdr:to>
      <xdr:col>37</xdr:col>
      <xdr:colOff>936185</xdr:colOff>
      <xdr:row>21</xdr:row>
      <xdr:rowOff>268337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7442199" y="4864100"/>
            <a:ext cx="14556301" cy="1932037"/>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23</xdr:row>
      <xdr:rowOff>94907</xdr:rowOff>
    </xdr:from>
    <xdr:to>
      <xdr:col>37</xdr:col>
      <xdr:colOff>1199691</xdr:colOff>
      <xdr:row>25</xdr:row>
      <xdr:rowOff>150108</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169607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18758</xdr:colOff>
      <xdr:row>38</xdr:row>
      <xdr:rowOff>170131</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1676399</xdr:colOff>
      <xdr:row>17</xdr:row>
      <xdr:rowOff>203200</xdr:rowOff>
    </xdr:from>
    <xdr:to>
      <xdr:col>37</xdr:col>
      <xdr:colOff>973940</xdr:colOff>
      <xdr:row>32</xdr:row>
      <xdr:rowOff>284311</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7645399" y="5740400"/>
            <a:ext cx="14377521" cy="431275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38</xdr:row>
      <xdr:rowOff>132591</xdr:rowOff>
    </xdr:from>
    <xdr:to>
      <xdr:col>38</xdr:col>
      <xdr:colOff>133988</xdr:colOff>
      <xdr:row>40</xdr:row>
      <xdr:rowOff>134061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17</xdr:row>
      <xdr:rowOff>177800</xdr:rowOff>
    </xdr:from>
    <xdr:to>
      <xdr:col>38</xdr:col>
      <xdr:colOff>96520</xdr:colOff>
      <xdr:row>22</xdr:row>
      <xdr:rowOff>209732</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35775" y="5715000"/>
            <a:ext cx="15706725" cy="168039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12</xdr:row>
      <xdr:rowOff>152400</xdr:rowOff>
    </xdr:from>
    <xdr:to>
      <xdr:col>5</xdr:col>
      <xdr:colOff>1384300</xdr:colOff>
      <xdr:row>14</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18</xdr:row>
      <xdr:rowOff>76200</xdr:rowOff>
    </xdr:from>
    <xdr:to>
      <xdr:col>5</xdr:col>
      <xdr:colOff>1485900</xdr:colOff>
      <xdr:row>18</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editAs="oneCell">
    <xdr:from>
      <xdr:col>25</xdr:col>
      <xdr:colOff>292417</xdr:colOff>
      <xdr:row>18</xdr:row>
      <xdr:rowOff>45411</xdr:rowOff>
    </xdr:from>
    <xdr:to>
      <xdr:col>38</xdr:col>
      <xdr:colOff>437959</xdr:colOff>
      <xdr:row>22</xdr:row>
      <xdr:rowOff>208145</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rot="245170">
            <a:off x="15777346" y="5583518"/>
            <a:ext cx="7055793" cy="147065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oneCellAnchor>
    <xdr:from>
      <xdr:col>33</xdr:col>
      <xdr:colOff>336321</xdr:colOff>
      <xdr:row>16</xdr:row>
      <xdr:rowOff>0</xdr:rowOff>
    </xdr:from>
    <xdr:ext cx="3686059" cy="242299"/>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2" name="Ink 13">
              <a:extLst>
                <a:ext uri="{FF2B5EF4-FFF2-40B4-BE49-F238E27FC236}">
                  <a16:creationId xmlns:a16="http://schemas.microsoft.com/office/drawing/2014/main" id="{E7CB7CA5-1959-4D8F-9F22-5E11DE0EF2C1}"/>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5 0 22269,'426'10498'0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357 632 24575,'323'0'0,"-917"0"0,593 0 0,-8 0 0,-1 0 0,0-1 0,1 0 0,-17-5 0,25 6 0,0 0 0,0-1 0,0 1 0,0 0 0,0-2 0,0 2 0,0-1 0,0 1 0,0-1 0,0 0 0,1 1 0,-1-2 0,0 2 0,0-1 0,0 1 0,1-1 0,-1 0 0,0-1 0,1 0 0,-1 1 0,1 0 0,-1 0 0,1 0 0,0-1 0,-1 1 0,1 0 0,0 0 0,0 1 0,-1-1 0,1-2 0,0 2 0,0 0 0,0 0 0,1-2 0,-1 2 0,0 0 0,0 0 0,0 0 0,1-1 0,-1 2 0,1-1 0,-1 0 0,1 0 0,-1 0 0,1-1 0,-1 1 0,1 0 0,0 0 0,0 0 0,-1 1 0,2-4 0,278-471 0,-227 380 0,-67 136 0,-23 50 0,-5 8 0,21-38 0,-46 132 0,59-162 0,1-2 0,1 2 0,1-1 0,-3 47 0,8-73 0,-1 0 0,1-2 0,0 1 0,0 0 0,0 0 0,1 1 0,-1-2 0,1 2 0,-1-3 0,1 4 0,0-3 0,0 2 0,0-2 0,0 1 0,0-1 0,1 0 0,-1 1 0,1 0 0,-1 1 0,1-3 0,0 0 0,0 2 0,0-1 0,0 1 0,0-2 0,0 1 0,0-1 0,1 2 0,-1-2 0,1-1 0,-1 1 0,0 0 0,2 0 0,-1 1 0,-1-2 0,1 1 0,-1-1 0,4 0 0,11 0 0,0-1 0,0-1 0,0-1 0,-1-1 0,19-5 0,1 0 0,93-9-1365,-95 16-5461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22753 1 24575,'-7'50'0,"-19"4"0,-8-5 0,-143 91 0,-366 146 0,479-253 0,-1721 699 0,259-118 0,-2000 1175 0,2719-1331 0,-598 398 0,-1212 779 0,2353-1509 0,-33-3 0,-470 141 0,-190 78 0,838-286 0,20 1 0,-74 73 0,-71 45 0,-884 415 0,955-506 0,-224 185 0,1 3 0,154-156 0,-665 352 0,148-93 0,139-79 0,421-183 0,67-36 0,-245 97 0,364-171 0,6 4 0,-13-2 0,7-1 0,0 0 0,-7 0 0,0 0 0,1 2 0,-1-3 0,0 1 0,-6 0 0,0 0 0,6-1 0,-40 3 0,47-5 0,0-1 0,0 2 0,-1-2 0,1 0 0,0 1 0,-7-1 0,6 0 0,2 0 0,-2 0 0,1-1 0,-1 1 0,2 0 0,0-2 0,-2 1 0,1 1 0,0-1 0,0 0 0,-1 0 0,1 0 0,0 1 0,6-2 0,-6 1 0,-1-1 0,8 1 0,-7-2 0,6 2 0,-6-1 0,6 0 0,0 0 0,0 0 0,-13-3 0,-39-10 0,12-2 0,2 2 0,-1 0 0,12-2 0,-4 1 0,12 0 0,-27-26 0,19 16 0,-6 3 0,-105-45 0,92 47 0,40 15 0,-6-1 0,5 0 0,-6 1 0,1-1 0,-2-1 0,-5 4 0,6-2 0,-6-1 0,-7 2 0,6 0 0,-6 1 0,7-1 0,-67-7 0,87 11 0,-8 1 0,7 0 0,1 0 0,-1 0 0,0 0 0,1 0 0,0 0 0,-8 0 0,7 0 0,1 0 0,-1 1 0,1-1 0,-1 0 0,2 2 0,-2-2 0,0 1 0,0-1 0,1 1 0,-1 0 0,1-1 0,-1 1 0,1 0 0,-1 1 0,7-1 0,-7-1 0,0 1 0,1 0 0,6-1 0,-7 1 0,7 0 0,-6 1 0,6-1 0,-7 0 0,7 1 0,0-1 0,-6 0 0,6 0 0,0 0 0,0 0 0,0 4 0,-53 55 0,53-58 0,-7 9 0,7-2 0,0 3 0,0-3 0,7 1 0,-1 0 0,7 0 0,0-2 0,1 1 0,6 3 0,-1-5 0,8 3 0,-1-2 0,0 3 0,53 9 0,-46-13 0,1 0 0,5-2 0,1 1 0,-1 0 0,3 0 0,3-1 0,1-2 0,0 2 0,1-1 0,-1 0 0,7-2 0,-7 1 0,6 1 0,2-1 0,-1-2 0,79 2 0,-22-2-76,-3 1 1,6-4-1,-1 1 0,-6-1 0,6-2 0,-7 0 0,1 0 0,-1 0 1,0-2-1,-5-1 0,6 0 0,-12-3 0,4 2 0,-5-2 1,0-1-1,-9 1 0,102-16 0,-40 4-6750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530 1 24575,'1'562'0,"-2"611"0,-7-480-1,-7-6 9,1 24-132,-23 944-463,13-568 587,-2-300 150,-5-6 150,-10 288-46,14-422-254,7-184 0,-27 649 0,44-1047 0,-1-2 0,0-2 0,-1 1 0,-11 110 0,-27 195 0,39-338 0,0 3 0,-1-5 0,1 1 0,0-2 0,-1-3 0,0 0 0,0-2 0,0-1 0,-5 13 0,2-22 0,2-2 0,-1-3 0,2-2 0,-2-1 0,2-3 0,-11-8 0,0 5 0,10-1 0,1 3 0,1 1 0,-7 5 0,10-5 0,0 1 0,0 0 0,0 0 0,0 0 0,0 1 0,1 0 0,-1-1 0,0 3 0,1-1 0,-1 0 0,0-1 0,0 2 0,1 0 0,-1 0 0,0 2 0,0-2 0,0 11 0,0-12 0,1 2 0,0 0 0,0-2 0,0 0 0,-1 1 0,1 0 0,0 2 0,0-3 0,0 2 0,0 0 0,0 1 0,0-3 0,0 4 0,0-3 0,1-1 0,-1 2 0,0-1 0,0-1 0,0 3 0,0-2 0,1-1 0,-1 1 0,1-1 0,-1 1 0,1 5 0,0 6 0,1-5 0,0 3 0,-1 0 0,0 0 0,3 10 0,-2-14 0,9 37 0,-10-43 0,0-1 0,-1-1 0,0 2 0,1-2 0,-1 0 0,1 1 0,0 0 0,-1-2 0,0 1 0,1-1 0,0 0 0,-1 0 0,2 0 0,-2-1 0,1-1 0,-1 2 0,0-2 0,0 1 0,1 0 0,-1 0 0,0-1 0,0 1 0,0 0 0,0 0 0,1 0 0,-1-1 0,0 0 0,0 1 0,0-2 0,0 2 0,1 0 0,-1-1 0,0 1 0,0 0 0,0-3 0,0 4 0,0-3 0,0 2 0,0-1 0,0 1 0,0-2 0,0 0 0,0 1 0,0 0 0,0-2 0,-2-67 0,2 67 0,-6-124 0,5 103 0,-1-2 0,2 3 0,-2-5 0,2 5 0,-1-4 0,0 1 0,0-1 0,1-37 0,0 61 7,0-3-1,0 0 0,0 0 0,1 3 1,-1-4-1,0 3 0,1-1 1,-1 0-1,1 1 0,-1 0 1,0 1-1,1-2 0,0 1 0,-1 0 1,0-1-1,0 3 0,1-1 1,1-6-1,0-2-303,0 2 0,0 2 0,1-3 0,4-6 0,-1 1-6529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35 1 24575,'-4'6'0,"1"-1"0,-2 2 0,2-2 0,2 1 0,-1 2 0,-1-3 0,1 2 0,1 0 0,-1 0 0,1-1 0,1 1 0,-2 1 0,2-2 0,0 13 0,-1 3 0,-2 26 0,1-2 0,4 1 0,-1 1 0,4-2 0,1 1 0,0 1 0,5-5 0,-1 4 0,5-3 0,-1-1 0,1 1 0,36 65 0,-13-38 0,3-1 0,4-3 0,1-2 0,2-1 0,3-5 0,4-1 0,-2-2 0,6-3 0,87 58 0,-26-31 0,3-4 0,261 107 0,291 35 0,80-65-361,9-53-60,-238-33 515,1779 321-94,-722-108-223,-182-6-964,-204-34 1177,-916-193-248,276 55 15,-435-72 556,-1 6 1,180 83-1,673 344 1356,-85-12-1669,-645-280 0,-82-52 0,473 294 0,-512-340 0,-66-40 0,0 3 0,74 63 0,96 73 0,-155-124 0,124 114 0,-181-144 0,-1-1 0,-1 3 0,24 35 0,-23-30 0,31 39 0,186 204 0,-210-244 0,-2 2 0,1 3 0,-3-2 0,-1 3 0,0-2 0,14 42 0,-12-22 0,2-4 0,41 70 0,43 93 0,-83-166 0,-15-20 0,3-2 0,-2 0 0,4 23 0,-7-25 0,0 1 0,2-2 0,-2-1 0,4 2 0,11 24 0,21 29 0,-3 2 0,40 110 0,-62-137 0,16 77 0,-7-32 0,-13-38 0,-2-2 0,6 83 0,-5-38 0,8 130 0,-14 336 0,-7-296 0,3 460 0,-1-691 0,-2 4 0,-11 49 0,9-55 0,0 2 0,1-1 0,1 35 0,3-66 0,0 0 0,0 2 0,0-2 0,0 2 0,1-2 0,-1 2 0,0-2 0,2 0 0,-2-1 0,1 2 0,-1 0 0,3 0 0,-3-1 0,2 0 0,-1 1 0,1-1 0,-1 0 0,3 4 0,-2-5 0,-1-1 0,1 1 0,-1-1 0,1 1 0,-1-1 0,1 1 0,-1-1 0,1 0 0,1 0 0,-3 0 0,3 0 0,-2 0 0,1 0 0,-1 0 0,1-1 0,-1 1 0,1-1 0,-1 1 0,1-1 0,-1 1 0,0-1 0,0 0 0,1 0 0,-1-1 0,1 0 0,-1 1 0,-1 0 0,3 0 0,-1-2 0,20-20 0,-2-4 0,1 1 0,-1-2 0,-2-1 0,17-39 0,8-11 0,-28 55 0,3-10 0,1 5 0,37-47 0,-56 77 0,0 1 0,0-2 0,0 1 0,0-1 0,0 0 0,0 0 0,0 1 0,0-1 0,0 1 0,0-1 0,0 1 0,0-1 0,0 1 0,0-1 0,0 2 0,1-2 0,-1 1 0,0-1 0,0 1 0,0-1 0,0 1 0,0-1 0,0 0 0,2 0 0,-2 0 0,0 1 0,0-1 0,0 2 0,0-2 0,0 0 0,2 0 0,-2 1 0,1-1 0,-1 0 0,0 0 0,0 0 0,2 0 0,-2 0 0,1 0 0,-1 0 0,0 0 0,0 0 0,2 0 0,-2 0 0,1 0 0,-1 0 0,0 0 0,2 0 0,-2 0 0,1 0 0,-1 0 0,0 0 0,0 0 0,2 0 0,-2 0 0,1-1 0,-1 1 0,0 0 0,0-2 0,0 2 0,2 0 0,-2-1 0,0 1 0,1 0 0,-1 0 0,0 0 0,0-1 0,0 1 0,0-1 0,-3 48 0,-6-23 0,0-2 0,-2 3 0,-1-3 0,0-1 0,0 2 0,-3-3 0,1 0 0,-3 0 0,-20 19 0,8-11 0,0-3 0,-3 2 0,1-3 0,-67 34 0,85-51 0,1-1 0,-1 0 0,0-1 0,-1-1 0,0-1 0,-1-1 0,3 0 0,-21 1 0,26-3 0,0-1 0,-1-1 0,1 1 0,-1-1 0,2 1 0,-2-2 0,2 1 0,-1-1 0,-1-1 0,3 1 0,-1-2 0,0 1 0,0-1 0,-3 1 0,3-3 0,2 2 0,-9-11 0,-28-45 0,2 0 0,-40-89 0,23 40 0,27 58-1365,4 8-5461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22269,'9094'10794'0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3:47.887"/>
    </inkml:context>
    <inkml:brush xml:id="br0">
      <inkml:brushProperty name="width" value="0.025" units="cm"/>
      <inkml:brushProperty name="height" value="0.025" units="cm"/>
    </inkml:brush>
  </inkml:definitions>
  <inkml:trace contextRef="#ctx0" brushRef="#br0">48470 0 24475,'-48470'2377'0,"48728"-2285"0,-516-184 0,500-22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10361 0 24575,'-4'0'0,"2"1"0,0-1 0,0 0 0,-1 1 0,1 0 0,-1-1 0,0 1 0,1 1 0,0-2 0,-1 2 0,2-1 0,-6 3 0,-11 5 0,-95 38 0,-160 43 0,-127 15 0,354-94 0,-636 127 0,500-114 0,-330 5 0,-1639-37 0,1884 8 0,-314-1 0,205-35 0,147 9 0,-107-13 0,157 16 0,-185-4 0,270 28 0,60 1 0,-1-1 0,-1-1 0,2 0 0,-1-2 0,-1-3 0,-63-16 0,50 7 0,-93-16 0,2 3 0,-28-8 0,-75-23 0,214 52 0,1 0 0,0 2 0,-3 0 0,-48-1 0,-129 8 0,85 2 0,-1258-4 0,1368 0 0,2 0 0,-1 1 0,1 0 0,-1 0 0,3 1 0,-3 1 0,0 0 0,0 0 0,2 1 0,-2 0 0,2 0 0,-18 13 0,22-13 0,-2 2 0,1 0 0,0 2 0,-1-2 0,1 1 0,1 0 0,1 1 0,0 0 0,0-1 0,1 2 0,-1-1 0,2 2 0,-1-4 0,-2 21 0,5-19 0,0-4 0,0 3 0,0 1 0,1-3 0,0 3 0,0-3 0,1 1 0,-1 1 0,1-1 0,1 1 0,3 10 0,1-5 0,0-2 0,1-2 0,-1 4 0,2-3 0,15 14 0,-23-23 0,0 0 0,1 0 0,-1 0 0,0 0 0,2 2 0,-2-2 0,0 0 0,0 1 0,0-1 0,1 0 0,-1 0 0,0 1 0,0-1 0,0 0 0,0 1 0,0-1 0,0 1 0,1-1 0,-1 0 0,0 1 0,0-1 0,0 0 0,0 1 0,0-1 0,0 0 0,-1 1 0,1-1 0,0 0 0,0 0 0,0 0 0,0 2 0,0-2 0,0 0 0,-1 0 0,1 1 0,0 0 0,-20 2 0,-29-1 0,42-2 0,-40 0 0,25 2 0,0-2 0,-1-2 0,0 0 0,0 0 0,-26-7 0,44 8 0,0-1 0,0 0 0,0-1 0,0 2 0,0-2 0,0 0 0,1 0 0,-2 1 0,3-2 0,-1 2 0,1-1 0,-2-1 0,2 0 0,-1 0 0,2 0 0,-1-1 0,0 1 0,0 1 0,1-1 0,0-1 0,0 0 0,0 0 0,1 1 0,0-1 0,-1 1 0,1-12 0,-1-26 0,3-2 0,7-49 0,-3 294 0,-4-196 0,0 2 0,0-2 0,1 1 0,1-1 0,-1 0 0,0 1 0,2 0 0,-2-1 0,2 0 0,-1-1 0,2 1 0,-3-1 0,3 2 0,0-2 0,0 0 0,1 0 0,-2-1 0,2 1 0,0-3 0,-2 3 0,2 0 0,8 1 0,13 6 0,2-2 0,0 0 0,44 8 0,-71-17 0,80 9 0,-67-8 0,2 0 0,-1 1 0,-2 2 0,2-1 0,26 8 0,-42-11 0,0 0 0,0 0 0,2 0 0,-2 0 0,0 0 0,0 0 0,1 0 0,-1 0 0,0 0 0,0 0 0,0 0 0,1 1 0,-1-1 0,0 0 0,0 0 0,0 0 0,1 0 0,-1 0 0,0 0 0,0 1 0,0-1 0,0 0 0,1 0 0,-1 0 0,0 0 0,0 1 0,0-1 0,0 0 0,0 0 0,0 0 0,0 1 0,2-1 0,-2 0 0,0 0 0,0 0 0,0 1 0,0-1 0,0 0 0,0 0 0,0 1 0,0-1 0,0 0 0,0 0 0,0 0 0,0 1 0,-2-1 0,2 0 0,0 0 0,0 1 0,0-1 0,0 0 0,0 0 0,0 1 0,-19 5 0,-26-1 0,26-4 0,-1-1 0,-1 0 0,2-1 0,0 1 0,1-4 0,-2 1 0,-29-9 0,43 9 0,1 2 0,-1-3 0,0 2 0,2 0 0,-2-1 0,1-1 0,1 1 0,-1 0 0,0-2 0,1 2 0,-1-2 0,2 2 0,-2-2 0,2 1 0,0-2 0,0 2 0,0-1 0,0 2 0,1-3 0,0 0 0,1 0 0,-1 1 0,1 1 0,0-1 0,1-2 0,0 3 0,-1-4 0,2-3 0,2-18 0,1 1 0,2 1 0,2-1 0,17-40 0,-11 30 0,12-57 0,-25 91 0,4-27 0,-3 25 0,-1 11 0,-3 172 0,3 67 0,-1-241 0,1 2 0,-1-1 0,2 1 0,-1-2 0,1 2 0,-1-2 0,2 1 0,-1-1 0,0 1 0,0 0 0,1-1 0,0 1 0,-1-1 0,2-1 0,-1 2 0,5 2 0,0-1 0,0-1 0,0 1 0,1 1 0,-2-2 0,3-1 0,13 6 0,47 6 0,-46-13 0,-68-10 0,-2-1 0,3 0 0,-2-4 0,-57-22 0,97 34 0,1-1 0,0-1 0,0 2 0,1-1 0,0 1 0,-1-1 0,1-2 0,-1 2 0,1-1 0,0 0 0,-1 1 0,2 0 0,-1-2 0,0 0 0,2 0 0,-2 2 0,2-2 0,-3-4 0,3 2 0,-1 0 0,2 0 0,0 1 0,0-2 0,2 3 0,-2-2 0,1 0 0,0 0 0,1 0 0,-1 2 0,2-1 0,1-7 0,15-30 0,-4 0 0,-1 0 0,-2-1 0,-2-1 0,4-61 0,-16 481 0,3-367 0,0-1 0,0 1 0,1-2 0,1 2 0,-1-2 0,8 17 0,-10-23 0,2 0 0,-1 1 0,-1-2 0,1 0 0,0 2 0,0 0 0,0-2 0,-1 1 0,1 1 0,1-2 0,-1 1 0,0-1 0,0 1 0,1-1 0,-1 2 0,1-1 0,-1-1 0,0 1 0,1-1 0,-1 1 0,2-1 0,-1-1 0,-1 1 0,2 0 0,-1-1 0,-1 1 0,1-1 0,1-1 0,-2 2 0,1-1 0,-1 1 0,1-1 0,0-1 0,-1 1 0,1 1 0,-1-2 0,0 0 0,0 2 0,2-1 0,0-3 0,97-117 0,16-11 0,-87 101-1365,-3 3-5461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20039 0 24396,'-20038'4462'0,"20309"-4415"0,-542-94 0,477-104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27512 737 24575,'-3'35'0,"0"0"0,-3 0 0,-23 64 0,-60 97 0,52-121 0,-41 98 0,-64 124 0,88-200 0,-72 97 0,26-72 0,-8-6 0,-165 141 0,189-185 0,-4-4 0,-2-1 0,-7-6 0,-3-1 0,-150 70 0,57-43 0,-4-7 0,-375 113 0,-61-42 0,432-104 0,-356 68 0,383-80 0,-207 34 0,-251 57 0,277-55 0,30-4 0,53-13 0,107-23 0,-453 80 0,-52 12 0,-681 152 0,977-186 0,-53 9 0,-141 13 0,513-99 0,0 3 0,-63 24 0,-20 4 0,6-10 0,0-4 0,-231 29 0,-282-7 0,609-50 0,-2-1 0,2 0 0,-1-1 0,0-3 0,1 0 0,0 0 0,1-2 0,-2-2 0,2-1 0,0 0 0,2-1 0,-1-1 0,2-2 0,1-3 0,-35-15 0,13 1 0,-5 1 0,0 4 0,-1 0 0,-110-33 0,-12 14 0,-313-50 0,396 76 0,-970-122-3,668 94-118,-1373-221-464,1654 249 550,-225-48 407,-387-110 0,44 6-372,330 84 0,-270-50 0,40 11 0,-773-239 0,1259 332 0,-22-4 0,3-4 0,-136-61 0,176 58 0,2-4 0,5-1 0,-90-73 0,55 41 0,-26-18 0,-8-1 0,9-6 0,-120-115 0,183 148 0,-6 4 0,-174-119 0,57 52 0,83 55 0,-174-95 0,196 135 0,-160-60 0,-20-6 0,193 75 0,1 4 0,-148-38 0,95 29 0,-76-27 0,85 25 0,-155-36 0,247 68 0,0-2 0,1 1 0,1-2 0,0 1 0,0-2 0,2-1 0,-27-14 0,-8-12 0,-64-50 0,105 75 0,-19-13 0,-72-36 0,25 16 0,44 22 0,29 20 0,0-2 0,1 0 0,-1 0 0,1 0 0,0-1 0,1 0 0,0 1 0,-11-14 0,3-2 0,1-1 0,-9-25 0,-15-23 0,33 65 0,-1-1 0,0 0 0,0 0 0,1 0 0,-2 1 0,-1 0 0,1 0 0,0 1 0,-1 0 0,-1-2 0,1 3 0,-15-7 0,-6 0 0,1 1 0,-53-9 0,77 17 0,2 0 0,0 1 0,-1-1 0,0 1 0,0-1 0,0 1 0,0 0 0,1 0 0,-2 0 0,2 0 0,-2 0 0,2 0 0,-1 1 0,0-1 0,0 1 0,1-1 0,-2 1 0,2 0 0,-1 0 0,1 0 0,0 0 0,-1 0 0,2 0 0,-2 1 0,1-1 0,0-1 0,-1 3 0,2-1 0,-1-2 0,0 1 0,0 2 0,1-2 0,0 0 0,-1 1 0,1 0 0,0 0 0,0 0 0,0 0 0,1 0 0,-2 0 0,1 3 0,-1 11 0,-1-1 0,2 0 0,0-1 0,5 26 0,-3-20 0,4 15 0,1 1 0,3 0 0,1-1 0,25 47 0,-21-63 0,-14-19 0,2 0 0,-2 0 0,1-1 0,-1 1 0,0 0 0,1 0 0,-1 0 0,0 0 0,0-1 0,1 1 0,-1 0 0,0 0 0,0-1 0,1 1 0,-1 0 0,0 0 0,0-1 0,2 1 0,-2 0 0,0-1 0,0 1 0,0 0 0,0-1 0,0 1 0,0 0 0,0 0 0,0 0 0,0 0 0,0-1 0,0 1 0,0 0 0,0-1 0,0 1 0,-2-45 0,-10-6 0,3 20 0,0 0 0,5-2 0,-1 0 0,4 2 0,4-44 0,-2 72 0,1-1 0,-1 0 0,0 0 0,1 0 0,0 0 0,0 0 0,0 0 0,2 1 0,-2-1 0,2 2 0,-2-3 0,2 2 0,0 1 0,0 0 0,0-1 0,8-4 0,-5 3 0,2 0 0,-1 0 0,2 2 0,0-1 0,-2 2 0,2-1 0,-2-1 0,20 0 0,-5 1 0,-2 1 0,1 0 0,1 2 0,0 0 0,-2 1 0,2 0 0,37 9 0,-47-10 20,-1 3 0,0-1 0,-1 2 0,1-1 0,13 5 0,-21-6-98,0-2 0,-1 2 0,0-1-1,0 0 1,0 1 0,0-1 0,-1 1 0,0 0 0,1-1-1,-1 3 1,0-4 0,0 3 0,0-2 0,-1 2 0,0-1-1,1 0 1,-1 0 0,0 6 0,-1 13-6748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42770 5558 24575,'-80'-157'0,"-123"-188"0,149 268 0,-1 3 0,-4 4 0,-2 2 0,-92-77 0,-18 8 0,-6 11 0,-5 5 0,-284-138 0,-626-218 0,-647-83 0,912 384-706,-4 39-256,138 26 192,-605-118-1197,-615-104 1801,-1 45-36,1548 239 31,-1004-138-548,10-62 342,276 23 794,-244-59 693,178 37 3299,1018 218-4357,-247-18 0,-217-22-52,-63 13 0,0 52 0,-214-6 0,128-49 0,446 20 0,-102-11 0,-689 12 0,968 37 0,-2042-8 0,1257 12 0,-3588-2 0,4179 25 0,150-8 0,-258 51 0,182-22 0,184-34 0,1 0 0,3 5 0,-66 27 0,-148 84 0,182-86 0,-20 7 0,-198 62 0,-121-2 0,345-89 0,-106 23 0,0-6 0,-4-10 0,-308 7 0,-2713-44 0,2626 41 0,494-18 0,-2 2 0,1 8 0,2 0 0,-110 49 0,-324 190 0,20 31 0,424-245 0,2-1 0,-1 7 0,4 2 0,-111 106 0,161-133 0,3 0 0,-1 5 0,2-1 0,4-1 0,-1 3 0,-24 66 0,19-45 0,7-17 0,2-4 0,-3-3 0,-29 53 0,-201 309 0,232-365 0,0-1 0,2 3 0,2-2 0,0 2 0,-7 36 0,-6 96 0,21-133 0,0-1 0,-1 1 0,-2-1 0,-1 2 0,-2-5 0,0 2 0,-2-1 0,-14 29 0,-11 15 0,35-67 0,-1-1 0,0 0 0,1 1 0,0 1 0,0-1 0,1 0 0,-1-1 0,1 0 0,0 2 0,0-1 0,1 1 0,-1-1 0,1-2 0,-1 3 0,1-1 0,4 6 0,-4-9 0,0 0 0,0 0 0,0 0 0,1 1 0,-2-1 0,1 0 0,1-1 0,-1 3 0,0-3 0,1 1 0,-1 0 0,0-1 0,1 0 0,-1 0 0,1 2 0,-1-2 0,1 0 0,-1 0 0,0 0 0,2 0 0,-2 0 0,0 0 0,2 0 0,-2 0 0,0 0 0,1 0 0,-1 0 0,1 0 0,-1 0 0,1-2 0,-1 2 0,0 0 0,1 0 0,-1-1 0,0 0 0,0 1 0,0-3 0,1 3 0,0-2 0,53-43 0,-55 45 0,120-106 0,-120 106 0,1 0 0,-1-2 0,2 2 0,-2 0 0,1-1 0,-1 1 0,1 0 0,-1 0 0,1-2 0,-1 2 0,0-2 0,1 2 0,-1-1 0,0 1 0,0 0 0,1-1 0,-1 1 0,0-3 0,0 3 0,0 0 0,0-2 0,0 2 0,0-1 0,0 1 0,0-1 0,0-1 0,0 2 0,0 0 0,0 0 0,0-1 0,0 0 0,-21-9 0,-33 9 0,34 3 51,0 3-1,2 0 1,0 0-1,-27 14 1,23-10-64,0-1 1,-1-1-1,-38 8 1,55-15-63,0 0 0,1 1 1,0-1-1,1 0 0,-2-1 1,0 1-1,1 0 0,-1 0 1,2-1-1,-2-2 0,1 2 1,0-2-1,0 0 1,0 1-1,0-1 0,0 1 1,1-1-1,1 1 0,-1-3 1,-8-6-1,-7-13-6751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1439 2 24575,'-57'-1'0,"6"1"0,1 0 0,-1 2 0,-67 8 0,104-8 0,-1-1 0,1 3 0,-1-1 0,1 1 0,2-1 0,-2 1 0,2 0 0,0 2 0,0-2 0,-2 3 0,4-2 0,-1 3 0,0-2 0,0 0 0,2 2 0,-8 6 0,-11 15 0,3 0 0,2 0 0,1 2 0,-18 41 0,-46 136 0,70-162 0,-16 41 0,6 1 0,7 1 0,-2 135 0,26-73 0,-9 212 0,3-355 0,-2-2 0,1 2 0,-2 1 0,0-1 0,-1-1 0,0 0 0,1 1 0,-2-2 0,0 1 0,-1-1 0,0 1 0,-1-1 0,0 1 0,1-1 0,-2-1 0,-2 1 0,2-2 0,-2 0 0,2 2 0,-1-3 0,-23 8 0,8-2 0,0-2 0,-1-2 0,-1 2 0,1-5 0,0 2 0,-1 1 0,-1-3 0,2-1 0,-35 0 0,57-1 0,-1 0 0,1 0 0,-1-1 0,0 1 0,1-1 0,-1 1 0,1 0 0,-1-1 0,0 0 0,1 0 0,0-2 0,-1 2 0,2-1 0,-8-1 0,10 2 0,-1 0 0,-1 0 0,2-1 0,-1 0 0,1 1 0,1 0 0,-2 0 0,1-1 0,-1 0 0,2 0 0,-1 0 0,1 1 0,-2 0 0,2-1 0,0 0 0,0-1 0,0 2 0,0-4 0,2 0 0,-2 2 0,3-1 0,-2-1 0,1 2 0,1 0 0,0-1 0,0 0 0,0 0 0,0 1 0,0-1 0,2 1 0,-1 0 0,1 0 0,0 0 0,0 0 0,0 0 0,-1 0 0,2 1 0,7-2 0,0-1 0,1 1 0,0 0 0,1 0 0,0 1 0,-1 1 0,1-1 0,1 1 0,-1 1 0,1-1 0,0 2 0,-1 0 0,29 2 0,-33-2 0,-2 2 0,2-1 0,-2 2 0,2-1 0,-2-1 0,0 2 0,0 0 0,1 0 0,0 0 0,-3 0 0,2 2 0,-1-2 0,0 1 0,-1 0 0,1 1 0,-2 0 0,2 0 0,-2 1 0,0-1 0,7 8 0,1 6 0,-2 1 0,-1-2 0,-2 2 0,1 0 0,-3 0 0,5 29 0,-3 126 0,-3-13 0,-3-139 0,2-1 0,3 2 0,-1-2 0,24 41 0,-13-38-112,-4 0 174,3 1-1,1-2 0,24 23 1,-37-41-130,0-3 0,-1 2-1,1 0 1,1-2 0,-1 1 0,1 0 0,0 0 0,0 0 0,2-2 0,-2 1-1,2 0 1,0 0 0,-2 0 0,2-1 0,0 0 0,1 0 0,-2 0 0,1-1-1,0 0 1,1 0 0,12 1 0,14-5-6758</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39690 5145 24575,'-14'3'0,"-2"0"0,2 2 0,-1-2 0,1 2 0,0 1 0,-1 0 0,-20 14 0,-24 9 0,14-14 0,1-3 0,-1-2 0,0-2 0,-58 4 0,-189-4 0,194-9 0,-2835-1-1545,1060 0-876,-77-66 2109,1086 27-68,-4122-109-2017,4313 137 2276,-843-30 124,144-73-3,881 47 0,-408-49 0,-3086-209 0,2637 215 0,1011 81 0,-1246-180 103,853 104 231,-611-104 3823,88 14-1578,1030 166-2579,-731-132 0,-378-93 0,674 167 0,-311-45 0,580 70 0,-709-139 0,-274-100 0,1300 288 0,11 2 0,0 2 0,-87-38 0,33-8 0,-106-68 0,122 66 0,-177-75 0,237 118 0,-96-34 0,3-6 0,-217-128 0,-220-147 0,275 168 0,63-5 0,32 22 0,140 105 0,-76-72 0,35 23 0,78 72 0,2-3 0,0 1 0,-27-43 0,-8-7 0,32 36 0,20 30 0,1-1 0,0 0 0,-1 2 0,1-2 0,0 1 0,-2 0 0,1 2 0,0-1 0,0-2 0,0 4 0,-2-4 0,-4-3 0,8 8 0,1 0 0,-1 0 0,-1 0 0,2 0 0,-1 0 0,1 0 0,-1 0 0,0 0 0,1 1 0,-1-1 0,1 0 0,-1 0 0,1 0 0,-2 2 0,2-2 0,-1 0 0,1 0 0,-1 1 0,1-1 0,-1 1 0,1-1 0,-1 0 0,1 1 0,0-1 0,-1 2 0,1-2 0,0 0 0,-2 0 0,2 1 0,0-1 0,0 2 0,-1-2 0,1 2 0,0-2 0,0 1 0,-8 32 0,8-26 0,-5 23 0,-21 82 0,24-103 0,0-4 0,-1 2 0,1 1 0,-2-1 0,1 1 0,-2-2 0,1 1 0,0 0 0,-1-3 0,-1 2 0,-8 9 0,14-15 0,-1 1 0,0-1 0,1 1 0,-1-1 0,-1 2 0,2-2 0,-1 0 0,0 1 0,0-1 0,0 0 0,0 0 0,1 1 0,-2-1 0,1 0 0,0 0 0,0 0 0,0 0 0,1 0 0,-1 0 0,-1 0 0,1-1 0,1 1 0,-1 0 0,0 0 0,1-1 0,-1 1 0,-1 0 0,1-2 0,1 2 0,-1-1 0,0 1 0,1-1 0,-1 1 0,-1-1 0,2 1 0,-1-2 0,1 2 0,-1 0 0,1-2 0,-1 1 0,1-1 0,-1 2 0,1-1 0,0 1 0,-1-1 0,1-2 0,0 2 0,0 1 0,0-1 0,0-2 0,-11-54 0,8 25 0,0 0 0,2-1 0,1 2 0,2-2 0,1 3 0,8-40 0,-9 65 4,-1 3 0,0-4-1,1 3 1,-1-1-1,2-2 1,-1 3 0,1 0-1,-1-1 1,0 1 0,1-2-1,-1 3 1,2-1 0,-1 1-1,1 0 1,-1-2 0,1 2-1,-1 0 1,1 0 0,-1 0-1,2 1 1,-2-2-1,2 2 1,-1 0 0,0-1-1,0 1 1,8 0 0,5 1-158,1 0 1,0 1-1,-2 2 1,1-1-1,20 7 1,-20-6-390,31 8-6283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381 1 24575,'-18'0'0,"4"-1"0,-1 1 0,0 1 0,1 0 0,-1 1 0,-23 6 0,34-7 0,0 2 0,0-2 0,-1 1 0,0 1 0,2 0 0,-2 0 0,1 0 0,0 2 0,0-1 0,3-1 0,-3 0 0,1 1 0,-1 0 0,1 1 0,1-1 0,0 0 0,0 1 0,-1 0 0,1-1 0,-2 8 0,-2 17 0,2 0 0,0 0 0,1 0 0,2 1 0,1-1 0,6 46 0,-2 23 0,-4-93 0,0 74 0,21 150 0,-9-147 0,-8-53 0,-2-1 0,4 1 0,13 39 0,-8-35 0,-2 1 0,-1-1 0,-2 3 0,4 51 0,-8-18 0,-6 88 0,4-148 0,-1-1 0,0-3 0,0 3 0,-1 0 0,0-2 0,0 1 0,-1 0 0,1 0 0,-1 1 0,-1-2 0,-5 11 0,6-14 0,-1 2 0,0-1 0,-1-2 0,1 2 0,0 0 0,-1-2 0,0 2 0,1-2 0,0 0 0,-2 1 0,1-1 0,0 0 0,0-1 0,-1 2 0,0-3 0,-5 1 0,-3 2 0,0-2 0,-2-1 0,-26-1 0,37 1 0,1-1 0,0 1 0,0-2 0,1 2 0,-1-1 0,0 0 0,1-2 0,-1 2 0,0-1 0,0 0 0,1-1 0,0 1 0,-1-1 0,1 1 0,1 0 0,-1-1 0,0 0 0,0 0 0,-2-4 0,5 6 0,-1 1 0,1 0 0,-1-2 0,1 1 0,0 1 0,-1-1 0,1 0 0,0 1 0,0-1 0,-1 0 0,1 1 0,0-2 0,0 1 0,0 1 0,0-1 0,0 0 0,0 0 0,0 1 0,1-1 0,-1 0 0,0 0 0,0 0 0,1 0 0,-1 1 0,0-1 0,1 0 0,-1 0 0,1 1 0,-1-1 0,1 1 0,-1 0 0,1-1 0,0 0 0,-1 1 0,1 0 0,0 0 0,-1-2 0,0 2 0,1-1 0,0 1 0,-1 0 0,1-1 0,0 1 0,0 0 0,0-1 0,-1 1 0,3 0 0,0 0 0,1-1 0,-1-2 0,1 3 0,1 0 0,-1 0 0,0 0 0,-1 0 0,7 3 0,-5-2 0,1 0 0,1 1 0,-1 0 0,-1 0 0,0 1 0,0 0 0,-1 0 0,2 0 0,-1 2 0,0-2 0,-1 1 0,1 0 0,-1 0 0,0 0 0,-2 1 0,2 0 0,0 0 0,-1 1 0,4 7 0,1 7 0,-1 1 0,-2 0 0,1 0 0,3 25 0,7 30 0,2-2 0,16 49 0,-29-108 0,0-1 0,2 0 0,1 1 0,-2-1 0,3-2 0,9 14 0,-14-22-170,-1 0-1,1 1 0,1-1 1,-1 0-1,0-1 0,2 1 1,7 2-1,9 5-6655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14717 6008 24507,'-14717'-6003'0,"14883"6185"0,-332-364 0,436 177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831 0 24575,'0'15'0,"1"93"0,-40 188 0,-20-125 0,-11 85 0,55-121 0,15 170 0,5-122 0,-5-118 0,-5 1 0,-26 89 0,13-86 0,5-20 0,-26 54 0,13-45 0,9-2 0,-12 92 0,27-131 0,-5 6 0,-4 3 0,0-1 0,-3-1 0,1-1 0,-3 1 0,-27 27 0,1-2 0,28-30 0,0-4 0,0 2 0,-33 25 0,42-38 0,1-1 0,-1 1 0,-2-1 0,4 1 0,-4-1 0,1 0 0,0-1 0,-1 2 0,2-2 0,-3 1 0,3-1 0,-2 1 0,-2-2 0,3 0 0,-2 1 0,0-1 0,1 0 0,-2 0 0,-13 0 0,17-2 0,0 0 0,2 0 0,-1 1 0,1-1 0,-2-1 0,3 2 0,-2-2 0,0 1 0,1-1 0,0 0 0,0 1 0,-1-3 0,1 3 0,0-2 0,0 2 0,1 0 0,0-2 0,1 1 0,-1-1 0,-1 1 0,1-1 0,1 1 0,1-1 0,-3-2 0,1 2 0,0-1 0,1-1 0,-1 3 0,1-2 0,-1 0 0,2 1 0,0-1 0,0 1 0,0-2 0,0 3 0,2-2 0,-2 0 0,1 0 0,1 0 0,-1 1 0,4-5 0,-3 6 0,-1 2 0,-1 0 0,2 0 0,-1-1 0,-1 1 0,2 0 0,0-1 0,-1 1 0,-1 0 0,1 0 0,0 0 0,1 0 0,0 0 0,-2 0 0,1 0 0,1-1 0,-1 1 0,1 0 0,-2 1 0,1-1 0,1 0 0,0 0 0,-1 0 0,-1 0 0,2 0 0,-1 0 0,1 0 0,-2 1 0,2-1 0,-1 0 0,2 1 0,-3-1 0,1 0 0,0 0 0,-1 2 0,1-1 0,-1-1 0,2 0 0,-2 1 0,1-1 0,-1 1 0,0 1 0,1-2 0,1 1 0,33 32 0,-11-9 0,-3-1 0,-2 2 0,-2-1 0,-1 1 0,-3 2 0,0-1 0,-2 0 0,5 36 0,-12 321 0,-10-186 0,37 110 0,-3-4 0,-30 1376 0,4-1663 0,1 1 0,0-1 0,2 1 0,2 1 0,19 26 0,58 76 0,-73-108 0,0-2 0,-2 0 0,4-1 0,-2 2 0,1-3 0,3 1 0,-3 1 0,4-2 0,25 10 0,2 1 0,6-3 0,58 16 0,-97-30 0,64 21 0,-3 4 0,0 0 0,123 61 0,-158-65-1365,-6-2-5461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39230 11773 24575,'-11'0'0,"-1228"-12"-716,-19-69-2122,500-14 1694,-185-38-1752,-172-25 1501,-116-14-1291,-97-13 1635,-2290-298-707,-1224-172-141,3537 472 1899,72 6 0,96 16 0,112 22 74,-478-54 259,-421-59 425,-902-117 2795,2679 352-3377,-1796-252 1600,20-112 846,1718 331-2622,-960-248 0,-79-85 0,714 181 1462,433 157-612,0-4 0,4-5 0,-99-74 0,-89-93-198,-310-316 0,-188-296 273,695 734-925,5-3 0,-97-165 0,37 43 0,-211-259 0,269 374 0,-115-199 0,-27-137 0,68 112 0,37 68 0,-81-216 0,85 192 0,12 35 0,66 144 0,20 54 0,-2 0 0,-36-70 0,22 58 0,-38-134 0,19 53 0,34 99 0,2 0 0,4-1 0,-10-93 0,21 142 0,0-2 0,-1 2 0,1 0 0,0 0 0,-1 0 0,1-1 0,-1 0 0,0 0 0,-1 1 0,1 0 0,0 0 0,0 0 0,0-1 0,-2 1 0,0-2 0,3 4 0,-2-1 0,1 0 0,0 1 0,0-1 0,0 1 0,0 0 0,-1-1 0,0 1 0,1 0 0,0 0 0,0-2 0,-1 2 0,1 0 0,0 0 0,0 0 0,0 0 0,-1 2 0,0-2 0,1 0 0,0 0 0,0 1 0,-3 0 0,-1 1 0,-1 1 0,1 0 0,-1 1 0,0 0 0,1 1 0,-2-1 0,3 1 0,0-1 0,0 0 0,-5 9 0,-2 3 0,0 2 0,2-1 0,0 2 0,-7 23 0,10-26 0,2 1 0,-4-2 0,1-1 0,-1 2 0,-1-3 0,-2 4 0,-14 14 0,16-20 0,2 4 0,-2-2 0,1 0 0,-7 21 0,27-64 0,60-131 0,-59 135 0,0 1 0,2 1 0,1 2 0,25-28 0,-31 36 0,-1 2 0,1-1 0,8-16 0,15-22 0,-32 48 10,1 2-1,1-2 1,-1 2-1,0-1 1,1-1-1,-1 3 0,-1-2 1,2 1-1,0-1 1,0 1-1,-1 0 1,2-1-1,-2 1 1,1 0-1,1 1 1,-2-1-1,2 1 0,-2-1 1,1 1-1,0 0 1,0 0-1,0 0 1,1 0-1,-2 1 1,1-1-1,1 1 1,-2 0-1,2-1 0,-2 1 1,2 1-1,-2 0 1,0-2-1,3 4 1,14 4-193,-1 3 0,-2-1 0,31 27 0,-22-18-772,19 14-5871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44515 1996 24575,'-3052'0'-5178,"2063"0"3766,-191-2-1789,-167-11 1855,-138-14-838,-100-3 1358,1450 27 805,-5393-91-1304,-15 44 435,-665 51 885,3286 1 46,328-42 124,21-112 243,13-144 301,1797 199-262,353 45 256,-1595-213 1240,878 60 756,-297-15 167,1082 184-2904,-235-34 2473,571 69-2377,-9-1 189,0-1 0,-1-1 0,1 0 0,0 0 0,1-1-1,-1 1 1,1-1 0,-15-12 0,29 17-223,-2 0 1,1-1-1,1 1 1,-1-2-1,1 2 1,-1 0-1,0 0 1,1 0-1,-1-1 1,1 1-1,-2-1 1,2 1-1,0-1 0,-1 0 1,1 1-1,0-1 1,-1 0-1,1 0 1,0 1-1,0-1 1,0 0-1,-1 0 1,1 0-1,15-4 553,28 10-196,-22 3-360,0 2 1,-1 0 0,-1-1 0,0 3-1,-2 0 1,26 20 0,37 24 11,-79-55-33,1-1 0,-1 2 0,0-1 0,0-1 0,0 0 0,2 1 0,-2 1 0,0-2 0,0 1 0,0-1 0,2 0 0,-2 1 0,0-1 0,0 0 0,1 0 0,0 0 0,1 0 0,-2 0 0,0 0 0,-1-1 0,2 1 0,-2 0 0,1-1 0,-1 1 0,1-2 0,-1 2 0,1-1 0,-1 1 0,1 0 0,-1 0 0,0-1 0,1 1 0,-1-2 0,0 2 0,0-1 0,2 1 0,-2 0 0,0-1 0,0 0 0,0 1 0,0-2 0,0 1 0,1-3 0,-1-3 0,0 1 0,-1 2 0,-1-2 0,1 1 0,0 0 0,-2-6 0,-15-23 0,-2-1 0,0 0 0,-3 1 0,-29-30 0,36 43 0,-13-12 0,21 24 0,-1 1 0,2-1 0,1 1 0,1-1 0,-1 0 0,-8-19 0,13 28 8,1-3 1,0 2-1,0 1 0,0-3 0,0 2 0,0 0 0,0-1 1,0 0-1,0 2 0,0-1 0,0-1 0,1 1 0,-1 0 0,1-1 1,-1 1-1,1 0 0,0 0 0,-1-1 0,1 1 0,1 0 1,-1-1-1,0 1 0,0 0 0,0 0 0,0-1 0,1 2 1,-1-1-1,0 1 0,0 0 0,1-1 0,0 1 0,-1-1 0,1 0 1,-1 1-1,0-1 0,1 1 0,-1 0 0,0 0 0,1-1 1,3 1-1,9-2-282,-1 1 0,0 0 1,24 2-1,-28-1-331,33 2-6221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42932 0 24575,'-15'9'0,"-3"2"0,1 0 0,-1-1 0,-2-2 0,-1 2 0,-33 10 0,-17 7 0,-998 359 0,814-298 0,-2928 942-1958,3052-991 1749,-2529 747-55,1754-553 214,-1033 198 0,-1124 129-538,-103-117 355,106-147-1171,-44-109 1507,555-139-243,29-56 125,2430 6 16,-3910-128-1,1424-70 1081,2248 160-527,-412-72-1,-278-87 1864,751 138-2355,7-10 0,-396-134 0,478 147-46,80 25-16,-161-48 0,8-8 0,-334-147 0,-239-158 0,729 341 0,4-4 0,5 1 0,-134-120 0,135 97 0,-185-115 0,176 136 0,8-4 0,5-1 0,-79-89 0,-131-210 0,183 248 0,69 80 0,-39-54 0,-55-57 0,99 112 0,3-1 0,0 0 0,7 0 0,-30-69 0,42 68 0,-6 1 0,-5 0 0,-34-40 0,-8-14 0,65 88 0,0-1 0,0 1 0,0-1 0,0 1 0,0-3 0,0 3 0,-3 0 0,3-1 0,0 1 0,0-1 0,0 1 0,-2-1 0,2 1 0,0-1 0,-3 1 0,3-2 0,0 2 0,-3 0 0,3 0 0,-2 0 0,2-1 0,-3 1 0,3 0 0,-2-1 0,2 1 0,-3 0 0,3 0 0,-2-1 0,-26 14 0,-23 41 0,39-38 0,-117 103 0,111-107 0,-2 1 0,0-1 0,-3-1 0,0 5 0,1-6 0,-40 14 0,61-23 0,-2-1 0,3 1 0,-2 0 0,-1 2 0,0-2 0,1-1 0,-1 0 0,1 1 0,-3 0 0,2-1 0,0 1 0,1-1 0,-1 2 0,-2-2 0,3 1 0,0-1 0,-4 0 0,3 1 0,1-1 0,-3 0 0,2 0 0,1 0 0,-3 0 0,2 0 0,0-1 0,2 1 0,-4 0 0,2 0 0,1-1 0,-3 1 0,2-2 0,0 2 0,1-1 0,0 0 0,0 0 0,-3 1 0,2 0 0,1-1 0,-1-2 0,0 2 0,3 0 0,-2 1 0,-1-1 0,1 0 0,-1-1 0,3 1 0,-2 0 0,2 0 0,-3 0 0,3 0 0,-3-2 0,3 3 0,0-1 0,0-1 0,-2 0 0,2-1 0,-8-11 0,3-3 0,1 2 0,-1-28 0,5 42 0,-3-40 0,1 21 0,-1 1 0,3 0 0,3-1 0,2 2 0,0 0 0,20-32 0,-23 46 0,3 2 0,-2-1 0,2 1 0,0-2 0,0 2 0,0 0 0,-1-1 0,2 2 0,-1-1 0,0 1 0,1-2 0,0 2 0,1 0 0,-2 0 0,3-2 0,-2 3 0,1-1 0,0 0 0,1 1 0,0-2 0,-3 1 0,3 1 0,-2 0 0,2 0 0,0 0 0,-1 0 0,1 0 0,0 1 0,-3-1 0,2 2 0,9-1 0,24 3 0,0-1 0,-2 3 0,0 0 0,43 8 0,290 76 0,-367-90 0,-1 2 0,-1-2 0,3 1 0,-2-1 0,-1 1 0,1-1 0,0 0 0,2 2 0,-3-1 0,1 0 0,-1 0 0,1 0 0,-1-1 0,-2 1 0,3 1 0,0 0 0,-1-1 0,3 3 0,-7-3 0,2-1 0,-3 2 0,3-2 0,-2 1 0,2-1 0,-3 1 0,3-1 0,-3 2 0,3-2 0,-2 0 0,2 0 0,-3 0 0,1 1 0,2-1 0,-3 0 0,1 0 0,2 1 0,-3-1 0,1 0 0,2 0 0,-3 0 0,0 0 0,1 0 0,-1 0 0,-142 1 0,90-4 0,-1-3 0,4 0 0,-106-18 0,105 16 0,-5 0 0,3 1 0,-65-5 0,113 11-36,-1 1 0,1 0 0,2 0 1,-2 0-1,-1 0 0,1 0 0,0 0 0,-1 1 0,3-1 0,-3 1 0,0 1 0,1 0 0,3-1 0,-4 0 0,3 0 0,-3 0 0,3 1 1,-3 0-1,3-1 0,0 1 0,0 0 0,0 0 0,0 0 0,0 1 0,-1-1 0,4 0 0,-2 1 0,1-1 0,-2 1 0,3-1 0,-1 1 1,0 1-1,1-2 0,-1 1 0,3 0 0,-2 0 0,-1 5 0,-7 21-6790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19392 0 24575,'-7'10'0,"-1"-3"0,0 2 0,0 0 0,-1-1 0,-1-1 0,-14 11 0,-8 6 0,-451 309 0,366-258 0,-1319 814-1958,1377-854 1749,-1143 644-55,794-477 214,-468 171 0,-507 109-538,-49-100 355,50-128-1171,-19-91 1507,249-122-243,15-49 125,1095 7 16,-1764-112-1,642-58 1081,1016 137-527,-187-65-1,-124-72 1864,339 117-2355,2-6 0,-178-117 0,214 127-46,38 22-16,-73-42 0,5-6 0,-153-128 0,-107-137 0,330 295 0,0-2 0,3-2 0,-58-101 0,55 82 0,-78-96 0,78 112 0,2-1 0,5 1 0,-39-79 0,-58-181 0,84 216 0,31 68 0,-18-47 0,-25-51 0,44 98 0,3 2 0,-1-3 0,2 1 0,-12-61 0,19 61 0,-3-1 0,-3 1 0,-15-35 0,-4-11 0,30 74 0,0 0 0,0 1 0,0-2 0,0 2 0,0-1 0,0 1 0,-1 0 0,1-1 0,0 1 0,0-1 0,0 1 0,-1 0 0,1 0 0,0-1 0,-2 1 0,2 0 0,0 0 0,-1 0 0,1-1 0,-1 1 0,1-1 0,-1 1 0,1 0 0,-1-1 0,1 1 0,-1 0 0,1 0 0,-1-2 0,-12 13 0,-8 36 0,15-33 0,-54 88 0,52-92 0,0 3 0,-1-3 0,-1 0 0,0 2 0,0-3 0,-18 13 0,27-22 0,0 1 0,1 0 0,-1 0 0,-1 0 0,1 0 0,0-1 0,0 1 0,0-1 0,-1 0 0,0 0 0,1 2 0,0-2 0,0 1 0,-1-1 0,0 1 0,1-1 0,-1 0 0,1 1 0,0-1 0,-2 0 0,2 0 0,0 0 0,0 0 0,0 0 0,-1-1 0,0 1 0,0 0 0,1 0 0,0-1 0,-2 1 0,2-1 0,0 1 0,0-2 0,0 2 0,0 0 0,-2 0 0,2-1 0,0 0 0,0 0 0,0 0 0,1 0 0,-1 0 0,-1 1 0,1-1 0,0 0 0,1 0 0,-1-1 0,1 1 0,-1 0 0,1 0 0,-1-1 0,1 1 0,0 0 0,0-1 0,-1 2 0,1-4 0,-3-7 0,1-3 0,-1 1 0,1-25 0,2 36 0,-1-33 0,0 20 0,0-4 0,1 3 0,1-1 0,1 1 0,0 0 0,9-27 0,-10 40 0,1 1 0,0 0 0,0 1 0,0-2 0,1 1 0,-1 0 0,0 1 0,0-1 0,1-1 0,-1 2 0,2 0 0,-1-1 0,-1 1 0,1-1 0,0 1 0,-1 0 0,2 0 0,-1 0 0,1 1 0,-1-1 0,-1 0 0,2 1 0,-1 0 0,1 0 0,-1 0 0,1 0 0,-1 0 0,1 1 0,-2-1 0,1 1 0,4 0 0,11 2 0,0 2 0,-2 0 0,3 0 0,18 7 0,129 65 0,-163-77 0,-2 1 0,0-1 0,2 1 0,-2-1 0,0 1 0,0-1 0,0 0 0,2 1 0,-2 0 0,0 0 0,0 0 0,0 0 0,0 0 0,-1 0 0,2 0 0,-2 0 0,1 1 0,1 1 0,-3-2 0,1-1 0,-1 0 0,1 0 0,-1 1 0,1-1 0,0 1 0,0-1 0,-2 2 0,2-2 0,-1 1 0,1-1 0,-1 0 0,0 1 0,1-1 0,-1 0 0,0 0 0,1 1 0,-2-1 0,1 0 0,1 0 0,-1 0 0,0 0 0,0 0 0,0 0 0,-66 0 0,42-3 0,-1-1 0,2-2 0,-45-14 0,43 12 0,1 1 0,1 0 0,-30-1 0,50 7-36,2 1 0,-3 0 0,3 0 1,-2 0-1,1 0 0,0 0 0,-1 0 0,1 1 0,0-1 0,0 1 0,0 0 0,0 0 0,1 0 0,-2 0 0,2 0 0,-2 1 0,2-2 1,-1 2-1,0 0 0,1-1 0,0 0 0,-1 0 0,1 3 0,0-2 0,0-1 0,0 1 0,0 2 0,1-3 0,-1 2 0,1-1 0,-1 0 1,1 1-1,0-1 0,0 0 0,1 1 0,-1 0 0,0 4 0,-4 19-6790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0:47:11.772"/>
    </inkml:context>
    <inkml:brush xml:id="br0">
      <inkml:brushProperty name="width" value="0.025" units="cm"/>
      <inkml:brushProperty name="height" value="0.025" units="cm"/>
    </inkml:brush>
  </inkml:definitions>
  <inkml:trace contextRef="#ctx0" brushRef="#br0">10254 0 24575,'-4'0'0,"2"1"0,0-1 0,0 0 0,-1 1 0,1 1 0,-1-2 0,0 1 0,1 0 0,0 0 0,-1 1 0,2-1 0,-6 4 0,-10 5 0,-95 44 0,-159 48 0,-124 18 0,349-108 0,-629 146 0,496-131 0,-329 6 0,-1620-42 0,1863 9 0,-309-1 0,201-41 0,146 12 0,-105-15 0,155 17 0,-183-3 0,267 31 0,59 1 0,-1-1 0,0-1 0,1-1 0,-1-2 0,0-2 0,-63-20 0,49 10 0,-92-19 0,3 3 0,-28-10 0,-74-25 0,211 59 0,1 0 0,0 3 0,-2-2 0,-49 1 0,-127 8 0,85 2 0,-1245-4 0,1353 0 0,2 0 0,-1 2 0,1-1 0,-1 0 0,3 2 0,-3 0 0,1 0 0,-1 1 0,2 0 0,-2 1 0,2-1 0,-18 15 0,22-13 0,-2 0 0,1 1 0,0 2 0,0-2 0,0 1 0,1 0 0,1 1 0,0 1 0,0-3 0,1 3 0,-1 0 0,2 1 0,-1-4 0,-2 23 0,5-21 0,0-3 0,0 1 0,0 2 0,1-3 0,0 3 0,0-3 0,1 1 0,-1 0 0,1 1 0,1-1 0,3 13 0,1-6 0,0-3 0,1-2 0,-1 4 0,2-2 0,14 15 0,-22-26 0,0 1 0,1-1 0,-1 0 0,0 0 0,2 1 0,-2-1 0,0 0 0,0 1 0,0-1 0,1 0 0,-1 0 0,0 2 0,0-2 0,0 0 0,0 1 0,0-1 0,0 1 0,1-1 0,-1 0 0,0 1 0,0-1 0,0 0 0,0 2 0,0-2 0,0 0 0,-1 1 0,1-1 0,0 0 0,0 0 0,0 0 0,0 1 0,0-1 0,0 0 0,-1 0 0,1 1 0,0 1 0,-19 2 0,-30-2 0,42-2 0,-39 0 0,24 1 0,0-1 0,-1-1 0,0-2 0,1 1 0,-27-8 0,44 9 0,0-2 0,0 1 0,0-1 0,0 1 0,0-1 0,0 0 0,1-1 0,-1 2 0,2-2 0,-1 1 0,1 0 0,-2-2 0,2 1 0,-1-1 0,2 0 0,-1 0 0,0 0 0,0 2 0,1-2 0,0 0 0,0-1 0,0 1 0,1-1 0,0 1 0,-1 0 0,1-13 0,-1-30 0,3-1 0,7-58 0,-3 336 0,-4-223 0,0 2 0,0-2 0,1 1 0,1-2 0,-1 1 0,0 0 0,2 1 0,-2-1 0,2 0 0,-1-1 0,2 0 0,-3 0 0,3 1 0,-1-1 0,1 0 0,1 0 0,-2-3 0,2 3 0,0-3 0,-2 2 0,2 0 0,8 2 0,13 6 0,1-1 0,1-1 0,43 9 0,-70-18 0,80 9 0,-67-9 0,1 0 0,0 2 0,-2 1 0,2-1 0,26 10 0,-42-13 0,0 0 0,0 0 0,2 0 0,-2 0 0,0 0 0,0 0 0,1 0 0,-1 0 0,0 0 0,0 0 0,0 0 0,1 1 0,-1-1 0,0 0 0,0 0 0,0 0 0,1 0 0,-1 0 0,0 0 0,0 1 0,0-1 0,0 0 0,1 0 0,-1 0 0,0 0 0,0 1 0,0-1 0,0 0 0,0 0 0,0 0 0,0 1 0,1-1 0,-1 0 0,0 0 0,0 0 0,0 2 0,0-2 0,0 0 0,0 0 0,0 1 0,0-1 0,0 0 0,0 0 0,0 0 0,0 1 0,-1-1 0,1 0 0,0 0 0,0 1 0,0-1 0,0 0 0,0 0 0,0 2 0,-19 4 0,-26-1 0,26-4 0,-1 0 0,0-2 0,1 0 0,0 1 0,1-4 0,-2 0 0,-28-9 0,42 10 0,1 1 0,-1-2 0,0 2 0,2-1 0,-2 0 0,1-1 0,1 0 0,-1 0 0,0-1 0,1 1 0,-1-1 0,2 1 0,-1-1 0,1 0 0,0-1 0,0 1 0,0-1 0,0 2 0,1-2 0,0-1 0,1 0 0,-1 1 0,1 1 0,0 0 0,1-2 0,0 1 0,-1-2 0,2-5 0,2-20 0,1 1 0,2 1 0,2-1 0,16-45 0,-10 34 0,12-65 0,-25 102 0,4-28 0,-3 26 0,-1 14 0,-3 196 0,3 76 0,-1-274 0,1 1 0,-1 0 0,2 0 0,-1-1 0,1 1 0,-1-1 0,2 0 0,-1 0 0,0 1 0,0-1 0,1 0 0,0-1 0,-1 1 0,2-1 0,-1 1 0,4 3 0,1-2 0,0 1 0,0-1 0,1 2 0,-2-3 0,3 0 0,13 7 0,46 5 0,-45-13 0,-68-12 0,-1-1 0,2-1 0,-1-4 0,-57-25 0,96 39 0,1-2 0,0 1 0,0 0 0,1 0 0,0 1 0,-1-2 0,1-1 0,-1 2 0,1-2 0,0 1 0,-1 1 0,2-1 0,-1-1 0,0-1 0,2 1 0,-2 1 0,2-1 0,-3-6 0,3 4 0,-1-1 0,2 0 0,0 1 0,0-1 0,2 2 0,-2-2 0,1 0 0,0 0 0,1 1 0,-1 1 0,2-1 0,1-8 0,15-33 0,-4-1 0,-1 0 0,-3-2 0,-1 0 0,4-69 0,-16 548 0,3-419 0,0-1 0,0 1 0,1-1 0,1 1 0,-1-2 0,8 18 0,-10-24 0,2-1 0,-1 1 0,-1-1 0,1-1 0,0 2 0,0-1 0,0 0 0,-1 0 0,1 1 0,1-2 0,-1 1 0,0 0 0,0 0 0,1-1 0,-1 2 0,1-1 0,-1-1 0,0 1 0,1-1 0,-1 1 0,2-1 0,-1-1 0,-1 1 0,2 0 0,-1-1 0,-1 1 0,1-1 0,1-1 0,-2 2 0,1-1 0,-1 0 0,1 0 0,0-1 0,-1 1 0,1 0 0,-1 0 0,0-1 0,0 1 0,2 0 0,-1-4 0,98-132 0,14-14 0,-85 116-1365,-3 3-5461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13"/>
  <sheetViews>
    <sheetView zoomScale="85" zoomScaleNormal="85" workbookViewId="0">
      <selection activeCell="F35" sqref="F35"/>
    </sheetView>
  </sheetViews>
  <sheetFormatPr defaultRowHeight="14.25"/>
  <cols>
    <col min="2" max="2" width="22.625" bestFit="1" customWidth="1"/>
    <col min="3" max="3" width="104.125" customWidth="1"/>
    <col min="6" max="6" width="22.625" style="2" bestFit="1" customWidth="1"/>
    <col min="7" max="7" width="49.625" style="1" bestFit="1" customWidth="1"/>
    <col min="8" max="8" width="9" style="19"/>
  </cols>
  <sheetData>
    <row r="2" spans="2:8">
      <c r="B2" s="112" t="s">
        <v>179</v>
      </c>
      <c r="C2" s="56" t="s">
        <v>180</v>
      </c>
      <c r="F2" s="19"/>
      <c r="G2"/>
      <c r="H2"/>
    </row>
    <row r="3" spans="2:8">
      <c r="B3" s="112"/>
      <c r="C3" s="56" t="s">
        <v>181</v>
      </c>
    </row>
    <row r="4" spans="2:8">
      <c r="B4" s="112"/>
      <c r="C4" s="56" t="s">
        <v>182</v>
      </c>
    </row>
    <row r="5" spans="2:8">
      <c r="B5" s="112"/>
      <c r="C5" s="56" t="s">
        <v>183</v>
      </c>
    </row>
    <row r="6" spans="2:8">
      <c r="B6" s="112"/>
      <c r="C6" s="56" t="s">
        <v>184</v>
      </c>
    </row>
    <row r="7" spans="2:8">
      <c r="B7" s="112"/>
      <c r="C7" s="56" t="s">
        <v>223</v>
      </c>
    </row>
    <row r="8" spans="2:8">
      <c r="B8" s="113" t="s">
        <v>230</v>
      </c>
      <c r="C8" s="56" t="s">
        <v>287</v>
      </c>
    </row>
    <row r="9" spans="2:8">
      <c r="B9" s="114"/>
      <c r="C9" s="56" t="s">
        <v>288</v>
      </c>
    </row>
    <row r="10" spans="2:8">
      <c r="B10" s="114"/>
      <c r="C10" s="56" t="s">
        <v>289</v>
      </c>
    </row>
    <row r="11" spans="2:8" ht="15" thickBot="1">
      <c r="B11" s="114"/>
      <c r="C11" s="56" t="s">
        <v>284</v>
      </c>
    </row>
    <row r="12" spans="2:8" ht="15" thickBot="1">
      <c r="B12" s="85" t="s">
        <v>305</v>
      </c>
      <c r="C12" s="84" t="s">
        <v>306</v>
      </c>
    </row>
    <row r="13" spans="2:8" ht="15" thickBot="1">
      <c r="B13" s="85" t="s">
        <v>309</v>
      </c>
      <c r="C13" s="84" t="s">
        <v>394</v>
      </c>
    </row>
  </sheetData>
  <mergeCells count="2">
    <mergeCell ref="B2:B7"/>
    <mergeCell ref="B8:B11"/>
  </mergeCells>
  <phoneticPr fontId="1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F793-561D-443F-99A3-E780A4F65AAB}">
  <sheetPr>
    <tabColor rgb="FFFF0000"/>
  </sheetPr>
  <dimension ref="A1:AX74"/>
  <sheetViews>
    <sheetView zoomScale="70" zoomScaleNormal="70" workbookViewId="0">
      <selection activeCell="D12" sqref="D12:AL12"/>
    </sheetView>
  </sheetViews>
  <sheetFormatPr defaultRowHeight="14.25"/>
  <cols>
    <col min="4" max="4" width="13.375" bestFit="1" customWidth="1"/>
    <col min="7" max="7" width="9.875" bestFit="1" customWidth="1"/>
    <col min="46" max="46" width="44.75" customWidth="1"/>
    <col min="47" max="47" width="6.625" customWidth="1"/>
    <col min="48" max="48" width="41.75" bestFit="1" customWidth="1"/>
    <col min="50" max="50" width="38.875" customWidth="1"/>
    <col min="51" max="51" width="31.5" customWidth="1"/>
  </cols>
  <sheetData>
    <row r="1" spans="1:38">
      <c r="A1" t="s">
        <v>310</v>
      </c>
    </row>
    <row r="2" spans="1:38" ht="15" thickBot="1"/>
    <row r="3" spans="1:38" ht="49.9" customHeight="1" thickBot="1">
      <c r="D3" s="123" t="s">
        <v>385</v>
      </c>
      <c r="E3" s="124"/>
      <c r="F3" s="124"/>
      <c r="G3" s="124"/>
      <c r="H3" s="124"/>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5"/>
    </row>
    <row r="4" spans="1:38">
      <c r="D4" s="88"/>
      <c r="E4" s="89" t="s">
        <v>41</v>
      </c>
      <c r="F4" s="90">
        <v>31</v>
      </c>
      <c r="G4" s="90">
        <v>30</v>
      </c>
      <c r="H4" s="90" t="s">
        <v>314</v>
      </c>
      <c r="I4" s="90" t="s">
        <v>315</v>
      </c>
      <c r="J4" s="90" t="s">
        <v>316</v>
      </c>
      <c r="K4" s="90" t="s">
        <v>317</v>
      </c>
      <c r="L4" s="90" t="s">
        <v>318</v>
      </c>
      <c r="M4" s="90" t="s">
        <v>319</v>
      </c>
      <c r="N4" s="88">
        <v>23</v>
      </c>
      <c r="O4" s="88">
        <v>22</v>
      </c>
      <c r="P4" s="88">
        <v>21</v>
      </c>
      <c r="Q4" s="88">
        <v>20</v>
      </c>
      <c r="R4" s="88">
        <v>19</v>
      </c>
      <c r="S4" s="88">
        <v>18</v>
      </c>
      <c r="T4" s="88">
        <v>17</v>
      </c>
      <c r="U4" s="88">
        <v>16</v>
      </c>
      <c r="V4" s="88">
        <v>15</v>
      </c>
      <c r="W4" s="88">
        <v>14</v>
      </c>
      <c r="X4" s="88">
        <v>13</v>
      </c>
      <c r="Y4" s="88">
        <v>12</v>
      </c>
      <c r="Z4" s="88">
        <v>11</v>
      </c>
      <c r="AA4" s="88">
        <v>10</v>
      </c>
      <c r="AB4" s="88">
        <v>9</v>
      </c>
      <c r="AC4" s="88">
        <v>8</v>
      </c>
      <c r="AD4" s="88">
        <v>7</v>
      </c>
      <c r="AE4" s="88">
        <v>6</v>
      </c>
      <c r="AF4" s="88">
        <v>5</v>
      </c>
      <c r="AG4" s="88">
        <v>4</v>
      </c>
      <c r="AH4" s="88">
        <v>3</v>
      </c>
      <c r="AI4" s="88">
        <v>2</v>
      </c>
      <c r="AJ4" s="88">
        <v>1</v>
      </c>
      <c r="AK4" s="88">
        <v>0</v>
      </c>
    </row>
    <row r="5" spans="1:38">
      <c r="D5" s="4" t="s">
        <v>39</v>
      </c>
      <c r="E5" s="18"/>
      <c r="F5" s="5" t="s">
        <v>9</v>
      </c>
      <c r="G5" s="115" t="s">
        <v>6</v>
      </c>
      <c r="H5" s="116"/>
      <c r="I5" s="116"/>
      <c r="J5" s="116"/>
      <c r="K5" s="116"/>
      <c r="L5" s="116"/>
      <c r="M5" s="117"/>
      <c r="N5" s="115" t="s">
        <v>7</v>
      </c>
      <c r="O5" s="116"/>
      <c r="P5" s="116"/>
      <c r="Q5" s="116"/>
      <c r="R5" s="116"/>
      <c r="S5" s="116"/>
      <c r="T5" s="116"/>
      <c r="U5" s="116"/>
      <c r="V5" s="116"/>
      <c r="W5" s="116"/>
      <c r="X5" s="116"/>
      <c r="Y5" s="116"/>
      <c r="Z5" s="116"/>
      <c r="AA5" s="116"/>
      <c r="AB5" s="116"/>
      <c r="AC5" s="116"/>
      <c r="AD5" s="116"/>
      <c r="AE5" s="116"/>
      <c r="AF5" s="116"/>
      <c r="AG5" s="116"/>
      <c r="AH5" s="116"/>
      <c r="AI5" s="116"/>
      <c r="AJ5" s="116"/>
      <c r="AK5" s="117"/>
    </row>
    <row r="6" spans="1:38" ht="60" customHeight="1">
      <c r="D6" s="6" t="s">
        <v>393</v>
      </c>
      <c r="E6" s="20">
        <v>110</v>
      </c>
      <c r="F6" s="7" t="s">
        <v>312</v>
      </c>
      <c r="G6" s="118" t="str">
        <f>"0x" &amp; DEC2HEX(E6,2)</f>
        <v>0x6E</v>
      </c>
      <c r="H6" s="119"/>
      <c r="I6" s="119"/>
      <c r="J6" s="119"/>
      <c r="K6" s="119"/>
      <c r="L6" s="119"/>
      <c r="M6" s="120"/>
      <c r="N6" s="118" t="s">
        <v>386</v>
      </c>
      <c r="O6" s="119"/>
      <c r="P6" s="119"/>
      <c r="Q6" s="119"/>
      <c r="R6" s="119"/>
      <c r="S6" s="119"/>
      <c r="T6" s="119"/>
      <c r="U6" s="119"/>
      <c r="V6" s="119"/>
      <c r="W6" s="119"/>
      <c r="X6" s="119"/>
      <c r="Y6" s="119"/>
      <c r="Z6" s="119"/>
      <c r="AA6" s="119"/>
      <c r="AB6" s="119"/>
      <c r="AC6" s="119"/>
      <c r="AD6" s="119"/>
      <c r="AE6" s="119"/>
      <c r="AF6" s="119"/>
      <c r="AG6" s="119"/>
      <c r="AH6" s="119"/>
      <c r="AI6" s="119"/>
      <c r="AJ6" s="119"/>
      <c r="AK6" s="120"/>
    </row>
    <row r="7" spans="1:38" ht="60" customHeight="1">
      <c r="D7" s="98"/>
      <c r="E7" s="20">
        <v>110</v>
      </c>
      <c r="F7" s="7" t="s">
        <v>312</v>
      </c>
      <c r="G7" s="118" t="str">
        <f>"0x" &amp; DEC2HEX(E7,2)</f>
        <v>0x6E</v>
      </c>
      <c r="H7" s="119"/>
      <c r="I7" s="119"/>
      <c r="J7" s="119"/>
      <c r="K7" s="119"/>
      <c r="L7" s="119"/>
      <c r="M7" s="120"/>
      <c r="N7" s="121" t="s">
        <v>407</v>
      </c>
      <c r="O7" s="121"/>
      <c r="P7" s="121"/>
      <c r="Q7" s="121"/>
      <c r="R7" s="121" t="s">
        <v>406</v>
      </c>
      <c r="S7" s="121"/>
      <c r="T7" s="121"/>
      <c r="U7" s="121"/>
      <c r="V7" s="121"/>
      <c r="W7" s="121"/>
      <c r="X7" s="121"/>
      <c r="Y7" s="121" t="s">
        <v>411</v>
      </c>
      <c r="Z7" s="121"/>
      <c r="AA7" s="121"/>
      <c r="AB7" s="121"/>
      <c r="AC7" s="121"/>
      <c r="AD7" s="121"/>
      <c r="AE7" s="121"/>
      <c r="AF7" s="121" t="s">
        <v>410</v>
      </c>
      <c r="AG7" s="121"/>
      <c r="AH7" s="121"/>
      <c r="AI7" s="121"/>
      <c r="AJ7" s="121"/>
      <c r="AK7" s="121"/>
    </row>
    <row r="8" spans="1:38" ht="60" customHeight="1">
      <c r="D8" s="98"/>
      <c r="E8" s="20">
        <v>110</v>
      </c>
      <c r="F8" s="7" t="s">
        <v>312</v>
      </c>
      <c r="G8" s="118" t="str">
        <f>"0x" &amp; DEC2HEX(E8,2)</f>
        <v>0x6E</v>
      </c>
      <c r="H8" s="119"/>
      <c r="I8" s="119"/>
      <c r="J8" s="119"/>
      <c r="K8" s="119"/>
      <c r="L8" s="119"/>
      <c r="M8" s="120"/>
      <c r="N8" s="121" t="s">
        <v>408</v>
      </c>
      <c r="O8" s="121"/>
      <c r="P8" s="121"/>
      <c r="Q8" s="121"/>
      <c r="R8" s="121" t="s">
        <v>406</v>
      </c>
      <c r="S8" s="121"/>
      <c r="T8" s="121"/>
      <c r="U8" s="121"/>
      <c r="V8" s="121"/>
      <c r="W8" s="121"/>
      <c r="X8" s="121"/>
      <c r="Y8" s="121"/>
      <c r="Z8" s="121"/>
      <c r="AA8" s="121"/>
      <c r="AB8" s="121"/>
      <c r="AC8" s="6" t="s">
        <v>412</v>
      </c>
      <c r="AD8" s="122" t="s">
        <v>414</v>
      </c>
      <c r="AE8" s="121"/>
      <c r="AF8" s="121"/>
      <c r="AG8" s="121"/>
      <c r="AH8" s="121"/>
      <c r="AI8" s="121"/>
      <c r="AJ8" s="121"/>
      <c r="AK8" s="121"/>
    </row>
    <row r="9" spans="1:38" ht="60" customHeight="1">
      <c r="D9" s="98"/>
      <c r="E9" s="20">
        <v>110</v>
      </c>
      <c r="F9" s="7" t="s">
        <v>312</v>
      </c>
      <c r="G9" s="118" t="str">
        <f>"0x" &amp; DEC2HEX(E9,2)</f>
        <v>0x6E</v>
      </c>
      <c r="H9" s="119"/>
      <c r="I9" s="119"/>
      <c r="J9" s="119"/>
      <c r="K9" s="119"/>
      <c r="L9" s="119"/>
      <c r="M9" s="120"/>
      <c r="N9" s="121" t="s">
        <v>409</v>
      </c>
      <c r="O9" s="121"/>
      <c r="P9" s="121"/>
      <c r="Q9" s="121"/>
      <c r="R9" s="121" t="s">
        <v>406</v>
      </c>
      <c r="S9" s="121"/>
      <c r="T9" s="121"/>
      <c r="U9" s="121"/>
      <c r="V9" s="121"/>
      <c r="W9" s="121"/>
      <c r="X9" s="121"/>
      <c r="Y9" s="121"/>
      <c r="Z9" s="121"/>
      <c r="AA9" s="121"/>
      <c r="AB9" s="121"/>
      <c r="AC9" s="6" t="s">
        <v>412</v>
      </c>
      <c r="AD9" s="122" t="s">
        <v>414</v>
      </c>
      <c r="AE9" s="121"/>
      <c r="AF9" s="121"/>
      <c r="AG9" s="121"/>
      <c r="AH9" s="121"/>
      <c r="AI9" s="121"/>
      <c r="AJ9" s="121"/>
      <c r="AK9" s="121"/>
    </row>
    <row r="10" spans="1:38" ht="60" customHeight="1">
      <c r="D10" s="98"/>
      <c r="E10" s="99"/>
      <c r="F10" s="100"/>
      <c r="G10" s="98"/>
      <c r="H10" s="98"/>
      <c r="I10" s="98"/>
      <c r="J10" s="98"/>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row>
    <row r="11" spans="1:38" ht="15" thickBot="1"/>
    <row r="12" spans="1:38" ht="24" thickBot="1">
      <c r="D12" s="123" t="s">
        <v>346</v>
      </c>
      <c r="E12" s="124"/>
      <c r="F12" s="124"/>
      <c r="G12" s="124"/>
      <c r="H12" s="124"/>
      <c r="I12" s="124"/>
      <c r="J12" s="124"/>
      <c r="K12" s="124"/>
      <c r="L12" s="124"/>
      <c r="M12" s="124"/>
      <c r="N12" s="124"/>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5"/>
    </row>
    <row r="13" spans="1:38">
      <c r="D13" s="88"/>
      <c r="E13" s="89" t="s">
        <v>41</v>
      </c>
      <c r="F13" s="90">
        <v>31</v>
      </c>
      <c r="G13" s="90">
        <v>30</v>
      </c>
      <c r="H13" s="90" t="s">
        <v>314</v>
      </c>
      <c r="I13" s="90" t="s">
        <v>315</v>
      </c>
      <c r="J13" s="90" t="s">
        <v>316</v>
      </c>
      <c r="K13" s="90" t="s">
        <v>317</v>
      </c>
      <c r="L13" s="90" t="s">
        <v>318</v>
      </c>
      <c r="M13" s="90" t="s">
        <v>319</v>
      </c>
      <c r="N13" s="88">
        <v>23</v>
      </c>
      <c r="O13" s="88">
        <v>22</v>
      </c>
      <c r="P13" s="88">
        <v>21</v>
      </c>
      <c r="Q13" s="88">
        <v>20</v>
      </c>
      <c r="R13" s="88">
        <v>19</v>
      </c>
      <c r="S13" s="88">
        <v>18</v>
      </c>
      <c r="T13" s="88">
        <v>17</v>
      </c>
      <c r="U13" s="88">
        <v>16</v>
      </c>
      <c r="V13" s="88">
        <v>15</v>
      </c>
      <c r="W13" s="88">
        <v>14</v>
      </c>
      <c r="X13" s="88">
        <v>13</v>
      </c>
      <c r="Y13" s="88">
        <v>12</v>
      </c>
      <c r="Z13" s="88">
        <v>11</v>
      </c>
      <c r="AA13" s="88">
        <v>10</v>
      </c>
      <c r="AB13" s="88">
        <v>9</v>
      </c>
      <c r="AC13" s="88">
        <v>8</v>
      </c>
      <c r="AD13" s="88">
        <v>7</v>
      </c>
      <c r="AE13" s="88">
        <v>6</v>
      </c>
      <c r="AF13" s="88">
        <v>5</v>
      </c>
      <c r="AG13" s="88">
        <v>4</v>
      </c>
      <c r="AH13" s="88">
        <v>3</v>
      </c>
      <c r="AI13" s="88">
        <v>2</v>
      </c>
      <c r="AJ13" s="88">
        <v>1</v>
      </c>
      <c r="AK13" s="88">
        <v>0</v>
      </c>
      <c r="AL13" s="91"/>
    </row>
    <row r="14" spans="1:38">
      <c r="D14" s="4" t="s">
        <v>39</v>
      </c>
      <c r="E14" s="18"/>
      <c r="F14" s="5" t="s">
        <v>9</v>
      </c>
      <c r="G14" s="115" t="s">
        <v>6</v>
      </c>
      <c r="H14" s="116"/>
      <c r="I14" s="116"/>
      <c r="J14" s="116"/>
      <c r="K14" s="116"/>
      <c r="L14" s="116"/>
      <c r="M14" s="117"/>
      <c r="N14" s="115" t="s">
        <v>7</v>
      </c>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7"/>
      <c r="AL14" s="16"/>
    </row>
    <row r="15" spans="1:38" ht="40.15" customHeight="1">
      <c r="D15" s="6" t="s">
        <v>349</v>
      </c>
      <c r="E15" s="20">
        <v>111</v>
      </c>
      <c r="F15" s="7" t="s">
        <v>312</v>
      </c>
      <c r="G15" s="118" t="str">
        <f t="shared" ref="G15:G26" si="0">"0x" &amp; DEC2HEX(E15,2)</f>
        <v>0x6F</v>
      </c>
      <c r="H15" s="119"/>
      <c r="I15" s="119"/>
      <c r="J15" s="119"/>
      <c r="K15" s="119"/>
      <c r="L15" s="119"/>
      <c r="M15" s="120"/>
      <c r="N15" s="6">
        <v>0</v>
      </c>
      <c r="O15" s="118" t="s">
        <v>347</v>
      </c>
      <c r="P15" s="119"/>
      <c r="Q15" s="119"/>
      <c r="R15" s="119"/>
      <c r="S15" s="119"/>
      <c r="T15" s="119"/>
      <c r="U15" s="120"/>
      <c r="V15" s="119" t="s">
        <v>348</v>
      </c>
      <c r="W15" s="119"/>
      <c r="X15" s="119"/>
      <c r="Y15" s="119"/>
      <c r="Z15" s="119"/>
      <c r="AA15" s="119"/>
      <c r="AB15" s="119"/>
      <c r="AC15" s="119"/>
      <c r="AD15" s="119"/>
      <c r="AE15" s="119"/>
      <c r="AF15" s="119"/>
      <c r="AG15" s="119"/>
      <c r="AH15" s="119"/>
      <c r="AI15" s="119"/>
      <c r="AJ15" s="119"/>
      <c r="AK15" s="120"/>
      <c r="AL15" s="16">
        <v>0</v>
      </c>
    </row>
    <row r="16" spans="1:38" ht="40.15" customHeight="1">
      <c r="D16" s="6" t="s">
        <v>350</v>
      </c>
      <c r="E16" s="20">
        <v>112</v>
      </c>
      <c r="F16" s="7" t="s">
        <v>312</v>
      </c>
      <c r="G16" s="118" t="str">
        <f t="shared" si="0"/>
        <v>0x70</v>
      </c>
      <c r="H16" s="119"/>
      <c r="I16" s="119"/>
      <c r="J16" s="119"/>
      <c r="K16" s="119"/>
      <c r="L16" s="119"/>
      <c r="M16" s="120"/>
      <c r="N16" s="6">
        <v>0</v>
      </c>
      <c r="O16" s="118" t="s">
        <v>347</v>
      </c>
      <c r="P16" s="119"/>
      <c r="Q16" s="119"/>
      <c r="R16" s="119"/>
      <c r="S16" s="119"/>
      <c r="T16" s="119"/>
      <c r="U16" s="120"/>
      <c r="V16" s="119" t="s">
        <v>348</v>
      </c>
      <c r="W16" s="119"/>
      <c r="X16" s="119"/>
      <c r="Y16" s="119"/>
      <c r="Z16" s="119"/>
      <c r="AA16" s="119"/>
      <c r="AB16" s="119"/>
      <c r="AC16" s="119"/>
      <c r="AD16" s="119"/>
      <c r="AE16" s="119"/>
      <c r="AF16" s="119"/>
      <c r="AG16" s="119"/>
      <c r="AH16" s="119"/>
      <c r="AI16" s="119"/>
      <c r="AJ16" s="119"/>
      <c r="AK16" s="120"/>
      <c r="AL16" s="16">
        <v>0</v>
      </c>
    </row>
    <row r="17" spans="4:38" ht="40.15" customHeight="1">
      <c r="D17" s="6" t="s">
        <v>351</v>
      </c>
      <c r="E17" s="20">
        <v>113</v>
      </c>
      <c r="F17" s="7" t="s">
        <v>312</v>
      </c>
      <c r="G17" s="118" t="str">
        <f t="shared" si="0"/>
        <v>0x71</v>
      </c>
      <c r="H17" s="119"/>
      <c r="I17" s="119"/>
      <c r="J17" s="119"/>
      <c r="K17" s="119"/>
      <c r="L17" s="119"/>
      <c r="M17" s="120"/>
      <c r="N17" s="6">
        <v>0</v>
      </c>
      <c r="O17" s="118" t="s">
        <v>347</v>
      </c>
      <c r="P17" s="119"/>
      <c r="Q17" s="119"/>
      <c r="R17" s="119"/>
      <c r="S17" s="119"/>
      <c r="T17" s="119"/>
      <c r="U17" s="120"/>
      <c r="V17" s="119" t="s">
        <v>348</v>
      </c>
      <c r="W17" s="119"/>
      <c r="X17" s="119"/>
      <c r="Y17" s="119"/>
      <c r="Z17" s="119"/>
      <c r="AA17" s="119"/>
      <c r="AB17" s="119"/>
      <c r="AC17" s="119"/>
      <c r="AD17" s="119"/>
      <c r="AE17" s="119"/>
      <c r="AF17" s="119"/>
      <c r="AG17" s="119"/>
      <c r="AH17" s="119"/>
      <c r="AI17" s="119"/>
      <c r="AJ17" s="119"/>
      <c r="AK17" s="120"/>
      <c r="AL17" s="16">
        <v>0</v>
      </c>
    </row>
    <row r="18" spans="4:38" ht="40.15" customHeight="1">
      <c r="D18" s="6" t="s">
        <v>352</v>
      </c>
      <c r="E18" s="20">
        <v>114</v>
      </c>
      <c r="F18" s="7" t="s">
        <v>312</v>
      </c>
      <c r="G18" s="118" t="str">
        <f t="shared" si="0"/>
        <v>0x72</v>
      </c>
      <c r="H18" s="119"/>
      <c r="I18" s="119"/>
      <c r="J18" s="119"/>
      <c r="K18" s="119"/>
      <c r="L18" s="119"/>
      <c r="M18" s="120"/>
      <c r="N18" s="6">
        <v>0</v>
      </c>
      <c r="O18" s="118" t="s">
        <v>347</v>
      </c>
      <c r="P18" s="119"/>
      <c r="Q18" s="119"/>
      <c r="R18" s="119"/>
      <c r="S18" s="119"/>
      <c r="T18" s="119"/>
      <c r="U18" s="120"/>
      <c r="V18" s="119" t="s">
        <v>348</v>
      </c>
      <c r="W18" s="119"/>
      <c r="X18" s="119"/>
      <c r="Y18" s="119"/>
      <c r="Z18" s="119"/>
      <c r="AA18" s="119"/>
      <c r="AB18" s="119"/>
      <c r="AC18" s="119"/>
      <c r="AD18" s="119"/>
      <c r="AE18" s="119"/>
      <c r="AF18" s="119"/>
      <c r="AG18" s="119"/>
      <c r="AH18" s="119"/>
      <c r="AI18" s="119"/>
      <c r="AJ18" s="119"/>
      <c r="AK18" s="120"/>
      <c r="AL18" s="16">
        <v>0</v>
      </c>
    </row>
    <row r="19" spans="4:38" ht="40.15" customHeight="1">
      <c r="D19" s="6" t="s">
        <v>353</v>
      </c>
      <c r="E19" s="20">
        <v>115</v>
      </c>
      <c r="F19" s="7" t="s">
        <v>312</v>
      </c>
      <c r="G19" s="118" t="str">
        <f t="shared" si="0"/>
        <v>0x73</v>
      </c>
      <c r="H19" s="119"/>
      <c r="I19" s="119"/>
      <c r="J19" s="119"/>
      <c r="K19" s="119"/>
      <c r="L19" s="119"/>
      <c r="M19" s="120"/>
      <c r="N19" s="6">
        <v>0</v>
      </c>
      <c r="O19" s="118" t="s">
        <v>347</v>
      </c>
      <c r="P19" s="119"/>
      <c r="Q19" s="119"/>
      <c r="R19" s="119"/>
      <c r="S19" s="119"/>
      <c r="T19" s="119"/>
      <c r="U19" s="120"/>
      <c r="V19" s="119" t="s">
        <v>348</v>
      </c>
      <c r="W19" s="119"/>
      <c r="X19" s="119"/>
      <c r="Y19" s="119"/>
      <c r="Z19" s="119"/>
      <c r="AA19" s="119"/>
      <c r="AB19" s="119"/>
      <c r="AC19" s="119"/>
      <c r="AD19" s="119"/>
      <c r="AE19" s="119"/>
      <c r="AF19" s="119"/>
      <c r="AG19" s="119"/>
      <c r="AH19" s="119"/>
      <c r="AI19" s="119"/>
      <c r="AJ19" s="119"/>
      <c r="AK19" s="120"/>
      <c r="AL19" s="16">
        <v>0</v>
      </c>
    </row>
    <row r="20" spans="4:38" ht="40.15" customHeight="1">
      <c r="D20" s="6" t="s">
        <v>354</v>
      </c>
      <c r="E20" s="20">
        <v>116</v>
      </c>
      <c r="F20" s="7" t="s">
        <v>312</v>
      </c>
      <c r="G20" s="118" t="str">
        <f t="shared" si="0"/>
        <v>0x74</v>
      </c>
      <c r="H20" s="119"/>
      <c r="I20" s="119"/>
      <c r="J20" s="119"/>
      <c r="K20" s="119"/>
      <c r="L20" s="119"/>
      <c r="M20" s="120"/>
      <c r="N20" s="6">
        <v>0</v>
      </c>
      <c r="O20" s="118" t="s">
        <v>347</v>
      </c>
      <c r="P20" s="119"/>
      <c r="Q20" s="119"/>
      <c r="R20" s="119"/>
      <c r="S20" s="119"/>
      <c r="T20" s="119"/>
      <c r="U20" s="120"/>
      <c r="V20" s="119" t="s">
        <v>348</v>
      </c>
      <c r="W20" s="119"/>
      <c r="X20" s="119"/>
      <c r="Y20" s="119"/>
      <c r="Z20" s="119"/>
      <c r="AA20" s="119"/>
      <c r="AB20" s="119"/>
      <c r="AC20" s="119"/>
      <c r="AD20" s="119"/>
      <c r="AE20" s="119"/>
      <c r="AF20" s="119"/>
      <c r="AG20" s="119"/>
      <c r="AH20" s="119"/>
      <c r="AI20" s="119"/>
      <c r="AJ20" s="119"/>
      <c r="AK20" s="120"/>
      <c r="AL20" s="16">
        <v>0</v>
      </c>
    </row>
    <row r="21" spans="4:38" ht="40.15" customHeight="1">
      <c r="D21" s="6" t="s">
        <v>355</v>
      </c>
      <c r="E21" s="20">
        <v>117</v>
      </c>
      <c r="F21" s="7" t="s">
        <v>312</v>
      </c>
      <c r="G21" s="118" t="str">
        <f t="shared" si="0"/>
        <v>0x75</v>
      </c>
      <c r="H21" s="119"/>
      <c r="I21" s="119"/>
      <c r="J21" s="119"/>
      <c r="K21" s="119"/>
      <c r="L21" s="119"/>
      <c r="M21" s="120"/>
      <c r="N21" s="6">
        <v>0</v>
      </c>
      <c r="O21" s="118" t="s">
        <v>347</v>
      </c>
      <c r="P21" s="119"/>
      <c r="Q21" s="119"/>
      <c r="R21" s="119"/>
      <c r="S21" s="119"/>
      <c r="T21" s="119"/>
      <c r="U21" s="120"/>
      <c r="V21" s="119" t="s">
        <v>348</v>
      </c>
      <c r="W21" s="119"/>
      <c r="X21" s="119"/>
      <c r="Y21" s="119"/>
      <c r="Z21" s="119"/>
      <c r="AA21" s="119"/>
      <c r="AB21" s="119"/>
      <c r="AC21" s="119"/>
      <c r="AD21" s="119"/>
      <c r="AE21" s="119"/>
      <c r="AF21" s="119"/>
      <c r="AG21" s="119"/>
      <c r="AH21" s="119"/>
      <c r="AI21" s="119"/>
      <c r="AJ21" s="119"/>
      <c r="AK21" s="120"/>
      <c r="AL21" s="16">
        <v>0</v>
      </c>
    </row>
    <row r="22" spans="4:38" ht="40.15" customHeight="1">
      <c r="D22" s="6" t="s">
        <v>356</v>
      </c>
      <c r="E22" s="20">
        <v>118</v>
      </c>
      <c r="F22" s="7" t="s">
        <v>312</v>
      </c>
      <c r="G22" s="118" t="str">
        <f t="shared" si="0"/>
        <v>0x76</v>
      </c>
      <c r="H22" s="119"/>
      <c r="I22" s="119"/>
      <c r="J22" s="119"/>
      <c r="K22" s="119"/>
      <c r="L22" s="119"/>
      <c r="M22" s="120"/>
      <c r="N22" s="6">
        <v>0</v>
      </c>
      <c r="O22" s="118" t="s">
        <v>347</v>
      </c>
      <c r="P22" s="119"/>
      <c r="Q22" s="119"/>
      <c r="R22" s="119"/>
      <c r="S22" s="119"/>
      <c r="T22" s="119"/>
      <c r="U22" s="120"/>
      <c r="V22" s="119" t="s">
        <v>348</v>
      </c>
      <c r="W22" s="119"/>
      <c r="X22" s="119"/>
      <c r="Y22" s="119"/>
      <c r="Z22" s="119"/>
      <c r="AA22" s="119"/>
      <c r="AB22" s="119"/>
      <c r="AC22" s="119"/>
      <c r="AD22" s="119"/>
      <c r="AE22" s="119"/>
      <c r="AF22" s="119"/>
      <c r="AG22" s="119"/>
      <c r="AH22" s="119"/>
      <c r="AI22" s="119"/>
      <c r="AJ22" s="119"/>
      <c r="AK22" s="120"/>
      <c r="AL22" s="16">
        <v>0</v>
      </c>
    </row>
    <row r="23" spans="4:38" ht="40.15" customHeight="1">
      <c r="D23" s="6" t="s">
        <v>357</v>
      </c>
      <c r="E23" s="20">
        <v>119</v>
      </c>
      <c r="F23" s="7" t="s">
        <v>312</v>
      </c>
      <c r="G23" s="118" t="str">
        <f t="shared" si="0"/>
        <v>0x77</v>
      </c>
      <c r="H23" s="119"/>
      <c r="I23" s="119"/>
      <c r="J23" s="119"/>
      <c r="K23" s="119"/>
      <c r="L23" s="119"/>
      <c r="M23" s="120"/>
      <c r="N23" s="6">
        <v>0</v>
      </c>
      <c r="O23" s="118" t="s">
        <v>347</v>
      </c>
      <c r="P23" s="119"/>
      <c r="Q23" s="119"/>
      <c r="R23" s="119"/>
      <c r="S23" s="119"/>
      <c r="T23" s="119"/>
      <c r="U23" s="120"/>
      <c r="V23" s="119" t="s">
        <v>348</v>
      </c>
      <c r="W23" s="119"/>
      <c r="X23" s="119"/>
      <c r="Y23" s="119"/>
      <c r="Z23" s="119"/>
      <c r="AA23" s="119"/>
      <c r="AB23" s="119"/>
      <c r="AC23" s="119"/>
      <c r="AD23" s="119"/>
      <c r="AE23" s="119"/>
      <c r="AF23" s="119"/>
      <c r="AG23" s="119"/>
      <c r="AH23" s="119"/>
      <c r="AI23" s="119"/>
      <c r="AJ23" s="119"/>
      <c r="AK23" s="120"/>
      <c r="AL23" s="16">
        <v>0</v>
      </c>
    </row>
    <row r="24" spans="4:38" ht="40.15" customHeight="1">
      <c r="D24" s="6" t="s">
        <v>358</v>
      </c>
      <c r="E24" s="20">
        <v>120</v>
      </c>
      <c r="F24" s="7" t="s">
        <v>312</v>
      </c>
      <c r="G24" s="118" t="str">
        <f t="shared" si="0"/>
        <v>0x78</v>
      </c>
      <c r="H24" s="119"/>
      <c r="I24" s="119"/>
      <c r="J24" s="119"/>
      <c r="K24" s="119"/>
      <c r="L24" s="119"/>
      <c r="M24" s="120"/>
      <c r="N24" s="6">
        <v>0</v>
      </c>
      <c r="O24" s="118" t="s">
        <v>347</v>
      </c>
      <c r="P24" s="119"/>
      <c r="Q24" s="119"/>
      <c r="R24" s="119"/>
      <c r="S24" s="119"/>
      <c r="T24" s="119"/>
      <c r="U24" s="120"/>
      <c r="V24" s="119" t="s">
        <v>348</v>
      </c>
      <c r="W24" s="119"/>
      <c r="X24" s="119"/>
      <c r="Y24" s="119"/>
      <c r="Z24" s="119"/>
      <c r="AA24" s="119"/>
      <c r="AB24" s="119"/>
      <c r="AC24" s="119"/>
      <c r="AD24" s="119"/>
      <c r="AE24" s="119"/>
      <c r="AF24" s="119"/>
      <c r="AG24" s="119"/>
      <c r="AH24" s="119"/>
      <c r="AI24" s="119"/>
      <c r="AJ24" s="119"/>
      <c r="AK24" s="120"/>
      <c r="AL24" s="16">
        <v>0</v>
      </c>
    </row>
    <row r="25" spans="4:38" ht="40.15" customHeight="1">
      <c r="D25" s="6" t="s">
        <v>359</v>
      </c>
      <c r="E25" s="20">
        <v>121</v>
      </c>
      <c r="F25" s="7" t="s">
        <v>312</v>
      </c>
      <c r="G25" s="118" t="str">
        <f t="shared" si="0"/>
        <v>0x79</v>
      </c>
      <c r="H25" s="119"/>
      <c r="I25" s="119"/>
      <c r="J25" s="119"/>
      <c r="K25" s="119"/>
      <c r="L25" s="119"/>
      <c r="M25" s="120"/>
      <c r="N25" s="6">
        <v>0</v>
      </c>
      <c r="O25" s="118" t="s">
        <v>347</v>
      </c>
      <c r="P25" s="119"/>
      <c r="Q25" s="119"/>
      <c r="R25" s="119"/>
      <c r="S25" s="119"/>
      <c r="T25" s="119"/>
      <c r="U25" s="120"/>
      <c r="V25" s="119" t="s">
        <v>348</v>
      </c>
      <c r="W25" s="119"/>
      <c r="X25" s="119"/>
      <c r="Y25" s="119"/>
      <c r="Z25" s="119"/>
      <c r="AA25" s="119"/>
      <c r="AB25" s="119"/>
      <c r="AC25" s="119"/>
      <c r="AD25" s="119"/>
      <c r="AE25" s="119"/>
      <c r="AF25" s="119"/>
      <c r="AG25" s="119"/>
      <c r="AH25" s="119"/>
      <c r="AI25" s="119"/>
      <c r="AJ25" s="119"/>
      <c r="AK25" s="120"/>
      <c r="AL25" s="16">
        <v>0</v>
      </c>
    </row>
    <row r="26" spans="4:38" ht="40.15" customHeight="1">
      <c r="D26" s="6" t="s">
        <v>360</v>
      </c>
      <c r="E26" s="20">
        <v>122</v>
      </c>
      <c r="F26" s="7" t="s">
        <v>312</v>
      </c>
      <c r="G26" s="118" t="str">
        <f t="shared" si="0"/>
        <v>0x7A</v>
      </c>
      <c r="H26" s="119"/>
      <c r="I26" s="119"/>
      <c r="J26" s="119"/>
      <c r="K26" s="119"/>
      <c r="L26" s="119"/>
      <c r="M26" s="120"/>
      <c r="N26" s="6">
        <v>0</v>
      </c>
      <c r="O26" s="118" t="s">
        <v>347</v>
      </c>
      <c r="P26" s="119"/>
      <c r="Q26" s="119"/>
      <c r="R26" s="119"/>
      <c r="S26" s="119"/>
      <c r="T26" s="119"/>
      <c r="U26" s="120"/>
      <c r="V26" s="119" t="s">
        <v>348</v>
      </c>
      <c r="W26" s="119"/>
      <c r="X26" s="119"/>
      <c r="Y26" s="119"/>
      <c r="Z26" s="119"/>
      <c r="AA26" s="119"/>
      <c r="AB26" s="119"/>
      <c r="AC26" s="119"/>
      <c r="AD26" s="119"/>
      <c r="AE26" s="119"/>
      <c r="AF26" s="119"/>
      <c r="AG26" s="119"/>
      <c r="AH26" s="119"/>
      <c r="AI26" s="119"/>
      <c r="AJ26" s="119"/>
      <c r="AK26" s="120"/>
      <c r="AL26" s="16">
        <v>0</v>
      </c>
    </row>
    <row r="28" spans="4:38" ht="15" thickBot="1"/>
    <row r="29" spans="4:38" ht="49.9" customHeight="1" thickBot="1">
      <c r="D29" s="123" t="s">
        <v>383</v>
      </c>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5"/>
    </row>
    <row r="30" spans="4:38">
      <c r="D30" s="88"/>
      <c r="E30" s="89" t="s">
        <v>41</v>
      </c>
      <c r="F30" s="90">
        <v>31</v>
      </c>
      <c r="G30" s="90">
        <v>30</v>
      </c>
      <c r="H30" s="90" t="s">
        <v>314</v>
      </c>
      <c r="I30" s="90" t="s">
        <v>315</v>
      </c>
      <c r="J30" s="90" t="s">
        <v>316</v>
      </c>
      <c r="K30" s="90" t="s">
        <v>317</v>
      </c>
      <c r="L30" s="90" t="s">
        <v>318</v>
      </c>
      <c r="M30" s="90" t="s">
        <v>319</v>
      </c>
      <c r="N30" s="88">
        <v>23</v>
      </c>
      <c r="O30" s="88">
        <v>22</v>
      </c>
      <c r="P30" s="88">
        <v>21</v>
      </c>
      <c r="Q30" s="88">
        <v>20</v>
      </c>
      <c r="R30" s="88">
        <v>19</v>
      </c>
      <c r="S30" s="88">
        <v>18</v>
      </c>
      <c r="T30" s="88">
        <v>17</v>
      </c>
      <c r="U30" s="88">
        <v>16</v>
      </c>
      <c r="V30" s="88">
        <v>15</v>
      </c>
      <c r="W30" s="88">
        <v>14</v>
      </c>
      <c r="X30" s="88">
        <v>13</v>
      </c>
      <c r="Y30" s="88">
        <v>12</v>
      </c>
      <c r="Z30" s="88">
        <v>11</v>
      </c>
      <c r="AA30" s="88">
        <v>10</v>
      </c>
      <c r="AB30" s="88">
        <v>9</v>
      </c>
      <c r="AC30" s="88">
        <v>8</v>
      </c>
      <c r="AD30" s="88">
        <v>7</v>
      </c>
      <c r="AE30" s="88">
        <v>6</v>
      </c>
      <c r="AF30" s="88">
        <v>5</v>
      </c>
      <c r="AG30" s="88">
        <v>4</v>
      </c>
      <c r="AH30" s="88">
        <v>3</v>
      </c>
      <c r="AI30" s="88">
        <v>2</v>
      </c>
      <c r="AJ30" s="88">
        <v>1</v>
      </c>
      <c r="AK30" s="88">
        <v>0</v>
      </c>
    </row>
    <row r="31" spans="4:38">
      <c r="D31" s="4" t="s">
        <v>39</v>
      </c>
      <c r="E31" s="18"/>
      <c r="F31" s="5" t="s">
        <v>9</v>
      </c>
      <c r="G31" s="115" t="s">
        <v>6</v>
      </c>
      <c r="H31" s="116"/>
      <c r="I31" s="116"/>
      <c r="J31" s="116"/>
      <c r="K31" s="116"/>
      <c r="L31" s="116"/>
      <c r="M31" s="117"/>
      <c r="N31" s="115" t="s">
        <v>7</v>
      </c>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7"/>
    </row>
    <row r="32" spans="4:38" ht="60" customHeight="1">
      <c r="D32" s="6" t="s">
        <v>388</v>
      </c>
      <c r="E32" s="20">
        <v>123</v>
      </c>
      <c r="F32" s="7" t="s">
        <v>312</v>
      </c>
      <c r="G32" s="118" t="str">
        <f>"0x" &amp; DEC2HEX(E32,2)</f>
        <v>0x7B</v>
      </c>
      <c r="H32" s="119"/>
      <c r="I32" s="119"/>
      <c r="J32" s="119"/>
      <c r="K32" s="119"/>
      <c r="L32" s="119"/>
      <c r="M32" s="120"/>
      <c r="N32" s="8">
        <v>0</v>
      </c>
      <c r="O32" s="8">
        <v>0</v>
      </c>
      <c r="P32" s="8">
        <v>0</v>
      </c>
      <c r="Q32" s="8">
        <v>0</v>
      </c>
      <c r="R32" s="157" t="s">
        <v>384</v>
      </c>
      <c r="S32" s="158"/>
      <c r="T32" s="158"/>
      <c r="U32" s="158"/>
      <c r="V32" s="158"/>
      <c r="W32" s="158"/>
      <c r="X32" s="158"/>
      <c r="Y32" s="158"/>
      <c r="Z32" s="158"/>
      <c r="AA32" s="158"/>
      <c r="AB32" s="158"/>
      <c r="AC32" s="158"/>
      <c r="AD32" s="158"/>
      <c r="AE32" s="158"/>
      <c r="AF32" s="158"/>
      <c r="AG32" s="158"/>
      <c r="AH32" s="158"/>
      <c r="AI32" s="158"/>
      <c r="AJ32" s="158"/>
      <c r="AK32" s="159"/>
      <c r="AL32" s="87" t="s">
        <v>372</v>
      </c>
    </row>
    <row r="33" spans="3:50" ht="15" thickBot="1"/>
    <row r="34" spans="3:50" ht="49.9" customHeight="1" thickBot="1">
      <c r="D34" s="123" t="s">
        <v>340</v>
      </c>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5"/>
    </row>
    <row r="35" spans="3:50">
      <c r="D35" s="88"/>
      <c r="E35" s="89" t="s">
        <v>41</v>
      </c>
      <c r="F35" s="90">
        <v>31</v>
      </c>
      <c r="G35" s="90">
        <v>30</v>
      </c>
      <c r="H35" s="90" t="s">
        <v>314</v>
      </c>
      <c r="I35" s="90" t="s">
        <v>315</v>
      </c>
      <c r="J35" s="90" t="s">
        <v>316</v>
      </c>
      <c r="K35" s="90" t="s">
        <v>317</v>
      </c>
      <c r="L35" s="90" t="s">
        <v>318</v>
      </c>
      <c r="M35" s="90" t="s">
        <v>319</v>
      </c>
      <c r="N35" s="88">
        <v>23</v>
      </c>
      <c r="O35" s="88">
        <v>22</v>
      </c>
      <c r="P35" s="88">
        <v>21</v>
      </c>
      <c r="Q35" s="88">
        <v>20</v>
      </c>
      <c r="R35" s="88">
        <v>19</v>
      </c>
      <c r="S35" s="88">
        <v>18</v>
      </c>
      <c r="T35" s="88">
        <v>17</v>
      </c>
      <c r="U35" s="88">
        <v>16</v>
      </c>
      <c r="V35" s="88">
        <v>15</v>
      </c>
      <c r="W35" s="88">
        <v>14</v>
      </c>
      <c r="X35" s="88">
        <v>13</v>
      </c>
      <c r="Y35" s="88">
        <v>12</v>
      </c>
      <c r="Z35" s="88">
        <v>11</v>
      </c>
      <c r="AA35" s="88">
        <v>10</v>
      </c>
      <c r="AB35" s="88">
        <v>9</v>
      </c>
      <c r="AC35" s="88">
        <v>8</v>
      </c>
      <c r="AD35" s="88">
        <v>7</v>
      </c>
      <c r="AE35" s="88">
        <v>6</v>
      </c>
      <c r="AF35" s="88">
        <v>5</v>
      </c>
      <c r="AG35" s="88">
        <v>4</v>
      </c>
      <c r="AH35" s="88">
        <v>3</v>
      </c>
      <c r="AI35" s="88">
        <v>2</v>
      </c>
      <c r="AJ35" s="88">
        <v>1</v>
      </c>
      <c r="AK35" s="88">
        <v>0</v>
      </c>
    </row>
    <row r="36" spans="3:50">
      <c r="D36" s="4" t="s">
        <v>39</v>
      </c>
      <c r="E36" s="18"/>
      <c r="F36" s="5" t="s">
        <v>9</v>
      </c>
      <c r="G36" s="115" t="s">
        <v>6</v>
      </c>
      <c r="H36" s="116"/>
      <c r="I36" s="116"/>
      <c r="J36" s="116"/>
      <c r="K36" s="116"/>
      <c r="L36" s="116"/>
      <c r="M36" s="117"/>
      <c r="N36" s="115" t="s">
        <v>7</v>
      </c>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7"/>
    </row>
    <row r="37" spans="3:50" ht="60" customHeight="1">
      <c r="D37" s="6" t="s">
        <v>369</v>
      </c>
      <c r="E37" s="20">
        <v>124</v>
      </c>
      <c r="F37" s="7" t="s">
        <v>370</v>
      </c>
      <c r="G37" s="118" t="str">
        <f>"0x" &amp; DEC2HEX(E37,2)</f>
        <v>0x7C</v>
      </c>
      <c r="H37" s="119"/>
      <c r="I37" s="119"/>
      <c r="J37" s="119"/>
      <c r="K37" s="119"/>
      <c r="L37" s="119"/>
      <c r="M37" s="120"/>
      <c r="N37" s="118" t="s">
        <v>321</v>
      </c>
      <c r="O37" s="119"/>
      <c r="P37" s="119"/>
      <c r="Q37" s="119"/>
      <c r="R37" s="119"/>
      <c r="S37" s="119"/>
      <c r="T37" s="119"/>
      <c r="U37" s="119"/>
      <c r="V37" s="119"/>
      <c r="W37" s="119"/>
      <c r="X37" s="119"/>
      <c r="Y37" s="119"/>
      <c r="Z37" s="119"/>
      <c r="AA37" s="119"/>
      <c r="AB37" s="119"/>
      <c r="AC37" s="119"/>
      <c r="AD37" s="119"/>
      <c r="AE37" s="119"/>
      <c r="AF37" s="119"/>
      <c r="AG37" s="119"/>
      <c r="AH37" s="119"/>
      <c r="AI37" s="119"/>
      <c r="AJ37" s="120"/>
      <c r="AK37" s="87" t="s">
        <v>372</v>
      </c>
    </row>
    <row r="39" spans="3:50">
      <c r="D39" s="12"/>
      <c r="E39" s="17" t="s">
        <v>41</v>
      </c>
      <c r="F39" s="13">
        <v>31</v>
      </c>
      <c r="G39" s="13">
        <v>30</v>
      </c>
      <c r="H39" s="13" t="s">
        <v>314</v>
      </c>
      <c r="I39" s="13" t="s">
        <v>315</v>
      </c>
      <c r="J39" s="13" t="s">
        <v>316</v>
      </c>
      <c r="K39" s="13" t="s">
        <v>317</v>
      </c>
      <c r="L39" s="13" t="s">
        <v>318</v>
      </c>
      <c r="M39" s="13" t="s">
        <v>319</v>
      </c>
      <c r="N39" s="12">
        <v>23</v>
      </c>
      <c r="O39" s="12">
        <v>22</v>
      </c>
      <c r="P39" s="12">
        <v>21</v>
      </c>
      <c r="Q39" s="12">
        <v>20</v>
      </c>
      <c r="R39" s="12">
        <v>19</v>
      </c>
      <c r="S39" s="12">
        <v>18</v>
      </c>
      <c r="T39" s="12">
        <v>17</v>
      </c>
      <c r="U39" s="12">
        <v>16</v>
      </c>
      <c r="V39" s="12">
        <v>15</v>
      </c>
      <c r="W39" s="12">
        <v>14</v>
      </c>
      <c r="X39" s="12">
        <v>13</v>
      </c>
      <c r="Y39" s="12">
        <v>12</v>
      </c>
      <c r="Z39" s="12">
        <v>11</v>
      </c>
      <c r="AA39" s="12">
        <v>10</v>
      </c>
      <c r="AB39" s="12">
        <v>9</v>
      </c>
      <c r="AC39" s="12">
        <v>8</v>
      </c>
      <c r="AD39" s="12">
        <v>7</v>
      </c>
      <c r="AE39" s="12">
        <v>6</v>
      </c>
      <c r="AF39" s="12">
        <v>5</v>
      </c>
      <c r="AG39" s="12">
        <v>4</v>
      </c>
      <c r="AH39" s="12">
        <v>3</v>
      </c>
      <c r="AI39" s="12">
        <v>2</v>
      </c>
      <c r="AJ39" s="12">
        <v>1</v>
      </c>
      <c r="AK39" s="12">
        <v>0</v>
      </c>
      <c r="AL39" s="16"/>
    </row>
    <row r="40" spans="3:50" ht="15" thickBot="1">
      <c r="D40" s="4" t="s">
        <v>39</v>
      </c>
      <c r="E40" s="18"/>
      <c r="F40" s="5" t="s">
        <v>9</v>
      </c>
      <c r="G40" s="115" t="s">
        <v>6</v>
      </c>
      <c r="H40" s="116"/>
      <c r="I40" s="116"/>
      <c r="J40" s="116"/>
      <c r="K40" s="116"/>
      <c r="L40" s="116"/>
      <c r="M40" s="117"/>
      <c r="N40" s="115" t="s">
        <v>7</v>
      </c>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7"/>
      <c r="AL40" s="16"/>
    </row>
    <row r="41" spans="3:50" ht="59.45" customHeight="1" thickBot="1">
      <c r="D41" s="6" t="s">
        <v>311</v>
      </c>
      <c r="E41" s="20">
        <v>125</v>
      </c>
      <c r="F41" s="7" t="s">
        <v>312</v>
      </c>
      <c r="G41" s="118" t="str">
        <f>"0x" &amp; DEC2HEX(E41,2)</f>
        <v>0x7D</v>
      </c>
      <c r="H41" s="119"/>
      <c r="I41" s="119"/>
      <c r="J41" s="119"/>
      <c r="K41" s="119"/>
      <c r="L41" s="119"/>
      <c r="M41" s="120"/>
      <c r="N41" s="118" t="s">
        <v>321</v>
      </c>
      <c r="O41" s="119"/>
      <c r="P41" s="119"/>
      <c r="Q41" s="119"/>
      <c r="R41" s="119"/>
      <c r="S41" s="119"/>
      <c r="T41" s="119"/>
      <c r="U41" s="120"/>
      <c r="V41" s="118" t="s">
        <v>320</v>
      </c>
      <c r="W41" s="119"/>
      <c r="X41" s="119"/>
      <c r="Y41" s="119"/>
      <c r="Z41" s="119"/>
      <c r="AA41" s="119"/>
      <c r="AB41" s="119"/>
      <c r="AC41" s="119"/>
      <c r="AD41" s="119"/>
      <c r="AE41" s="119"/>
      <c r="AF41" s="119"/>
      <c r="AG41" s="119"/>
      <c r="AH41" s="119"/>
      <c r="AI41" s="119"/>
      <c r="AJ41" s="119"/>
      <c r="AK41" s="120"/>
      <c r="AL41" s="16">
        <v>0</v>
      </c>
      <c r="AM41" s="142" t="s">
        <v>382</v>
      </c>
      <c r="AN41" s="143"/>
      <c r="AO41" s="143"/>
      <c r="AP41" s="143"/>
      <c r="AQ41" s="144"/>
      <c r="AT41" s="93" t="s">
        <v>342</v>
      </c>
      <c r="AV41" s="94" t="s">
        <v>343</v>
      </c>
      <c r="AW41" s="92"/>
      <c r="AX41" s="93" t="s">
        <v>344</v>
      </c>
    </row>
    <row r="42" spans="3:50" ht="52.9" customHeight="1">
      <c r="D42" s="6" t="s">
        <v>330</v>
      </c>
      <c r="E42" s="20"/>
      <c r="F42" s="133" t="s">
        <v>321</v>
      </c>
      <c r="G42" s="134"/>
      <c r="H42" s="134"/>
      <c r="I42" s="134"/>
      <c r="J42" s="134"/>
      <c r="K42" s="134"/>
      <c r="L42" s="134"/>
      <c r="M42" s="135"/>
      <c r="N42" s="151" t="s">
        <v>338</v>
      </c>
      <c r="O42" s="152"/>
      <c r="P42" s="152"/>
      <c r="Q42" s="152"/>
      <c r="R42" s="152"/>
      <c r="S42" s="152"/>
      <c r="T42" s="152"/>
      <c r="U42" s="152"/>
      <c r="V42" s="152"/>
      <c r="W42" s="152"/>
      <c r="X42" s="152"/>
      <c r="Y42" s="152"/>
      <c r="Z42" s="152"/>
      <c r="AA42" s="152"/>
      <c r="AB42" s="152"/>
      <c r="AC42" s="152"/>
      <c r="AD42" s="152"/>
      <c r="AE42" s="152"/>
      <c r="AF42" s="152"/>
      <c r="AG42" s="152"/>
      <c r="AH42" s="152"/>
      <c r="AI42" s="152"/>
      <c r="AJ42" s="152"/>
      <c r="AK42" s="153"/>
      <c r="AL42" s="16">
        <v>1</v>
      </c>
      <c r="AM42" s="145"/>
      <c r="AN42" s="146"/>
      <c r="AO42" s="146"/>
      <c r="AP42" s="146"/>
      <c r="AQ42" s="147"/>
      <c r="AT42" s="126" t="s">
        <v>361</v>
      </c>
      <c r="AV42" s="126" t="s">
        <v>362</v>
      </c>
      <c r="AX42" s="126" t="s">
        <v>345</v>
      </c>
    </row>
    <row r="43" spans="3:50" ht="41.45" customHeight="1">
      <c r="C43" s="131" t="s">
        <v>339</v>
      </c>
      <c r="D43" s="154" t="s">
        <v>334</v>
      </c>
      <c r="E43" s="86"/>
      <c r="F43" s="133" t="s">
        <v>321</v>
      </c>
      <c r="G43" s="134"/>
      <c r="H43" s="134"/>
      <c r="I43" s="134"/>
      <c r="J43" s="134"/>
      <c r="K43" s="134"/>
      <c r="L43" s="134"/>
      <c r="M43" s="135"/>
      <c r="N43" s="133" t="s">
        <v>373</v>
      </c>
      <c r="O43" s="134"/>
      <c r="P43" s="134"/>
      <c r="Q43" s="134"/>
      <c r="R43" s="134"/>
      <c r="S43" s="134"/>
      <c r="T43" s="134"/>
      <c r="U43" s="135"/>
      <c r="V43" s="133" t="s">
        <v>374</v>
      </c>
      <c r="W43" s="134"/>
      <c r="X43" s="134"/>
      <c r="Y43" s="134"/>
      <c r="Z43" s="134"/>
      <c r="AA43" s="134"/>
      <c r="AB43" s="134"/>
      <c r="AC43" s="135"/>
      <c r="AD43" s="133" t="s">
        <v>375</v>
      </c>
      <c r="AE43" s="134"/>
      <c r="AF43" s="134"/>
      <c r="AG43" s="134"/>
      <c r="AH43" s="134"/>
      <c r="AI43" s="134"/>
      <c r="AJ43" s="134"/>
      <c r="AK43" s="135"/>
      <c r="AL43" s="16">
        <v>2</v>
      </c>
      <c r="AM43" s="145"/>
      <c r="AN43" s="146"/>
      <c r="AO43" s="146"/>
      <c r="AP43" s="146"/>
      <c r="AQ43" s="147"/>
      <c r="AT43" s="127"/>
      <c r="AV43" s="127"/>
      <c r="AX43" s="129"/>
    </row>
    <row r="44" spans="3:50" ht="41.45" customHeight="1">
      <c r="C44" s="132"/>
      <c r="D44" s="155"/>
      <c r="E44" s="86"/>
      <c r="F44" s="133" t="s">
        <v>321</v>
      </c>
      <c r="G44" s="134"/>
      <c r="H44" s="134"/>
      <c r="I44" s="134"/>
      <c r="J44" s="134"/>
      <c r="K44" s="134"/>
      <c r="L44" s="134"/>
      <c r="M44" s="135"/>
      <c r="N44" s="133" t="s">
        <v>324</v>
      </c>
      <c r="O44" s="134"/>
      <c r="P44" s="134"/>
      <c r="Q44" s="134"/>
      <c r="R44" s="134"/>
      <c r="S44" s="134"/>
      <c r="T44" s="134"/>
      <c r="U44" s="135"/>
      <c r="V44" s="133" t="s">
        <v>323</v>
      </c>
      <c r="W44" s="134"/>
      <c r="X44" s="134"/>
      <c r="Y44" s="134"/>
      <c r="Z44" s="134"/>
      <c r="AA44" s="134"/>
      <c r="AB44" s="134"/>
      <c r="AC44" s="135"/>
      <c r="AD44" s="133" t="s">
        <v>322</v>
      </c>
      <c r="AE44" s="134"/>
      <c r="AF44" s="134"/>
      <c r="AG44" s="134"/>
      <c r="AH44" s="134"/>
      <c r="AI44" s="134"/>
      <c r="AJ44" s="134"/>
      <c r="AK44" s="135"/>
      <c r="AL44" s="16">
        <v>3</v>
      </c>
      <c r="AM44" s="145"/>
      <c r="AN44" s="146"/>
      <c r="AO44" s="146"/>
      <c r="AP44" s="146"/>
      <c r="AQ44" s="147"/>
      <c r="AT44" s="127"/>
      <c r="AV44" s="127"/>
      <c r="AX44" s="129"/>
    </row>
    <row r="45" spans="3:50" ht="41.45" customHeight="1">
      <c r="C45" s="132"/>
      <c r="D45" s="155"/>
      <c r="E45" s="86"/>
      <c r="F45" s="133" t="s">
        <v>321</v>
      </c>
      <c r="G45" s="134"/>
      <c r="H45" s="134"/>
      <c r="I45" s="134"/>
      <c r="J45" s="134"/>
      <c r="K45" s="134"/>
      <c r="L45" s="134"/>
      <c r="M45" s="135"/>
      <c r="N45" s="133" t="s">
        <v>327</v>
      </c>
      <c r="O45" s="134"/>
      <c r="P45" s="134"/>
      <c r="Q45" s="134"/>
      <c r="R45" s="134"/>
      <c r="S45" s="134"/>
      <c r="T45" s="134"/>
      <c r="U45" s="135"/>
      <c r="V45" s="133" t="s">
        <v>326</v>
      </c>
      <c r="W45" s="134"/>
      <c r="X45" s="134"/>
      <c r="Y45" s="134"/>
      <c r="Z45" s="134"/>
      <c r="AA45" s="134"/>
      <c r="AB45" s="134"/>
      <c r="AC45" s="135"/>
      <c r="AD45" s="133" t="s">
        <v>325</v>
      </c>
      <c r="AE45" s="134"/>
      <c r="AF45" s="134"/>
      <c r="AG45" s="134"/>
      <c r="AH45" s="134"/>
      <c r="AI45" s="134"/>
      <c r="AJ45" s="134"/>
      <c r="AK45" s="135"/>
      <c r="AL45" s="16">
        <v>4</v>
      </c>
      <c r="AM45" s="145"/>
      <c r="AN45" s="146"/>
      <c r="AO45" s="146"/>
      <c r="AP45" s="146"/>
      <c r="AQ45" s="147"/>
      <c r="AT45" s="127"/>
      <c r="AV45" s="127"/>
      <c r="AX45" s="129"/>
    </row>
    <row r="46" spans="3:50" ht="45">
      <c r="C46" s="132"/>
      <c r="D46" s="155"/>
      <c r="E46" s="136" t="s">
        <v>328</v>
      </c>
      <c r="F46" s="137"/>
      <c r="G46" s="137"/>
      <c r="H46" s="137"/>
      <c r="I46" s="137"/>
      <c r="J46" s="137"/>
      <c r="K46" s="137"/>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8"/>
      <c r="AL46" s="16"/>
      <c r="AM46" s="148"/>
      <c r="AN46" s="149"/>
      <c r="AO46" s="149"/>
      <c r="AP46" s="149"/>
      <c r="AQ46" s="150"/>
      <c r="AT46" s="127"/>
      <c r="AV46" s="127"/>
      <c r="AX46" s="129"/>
    </row>
    <row r="47" spans="3:50" ht="41.45" customHeight="1" thickBot="1">
      <c r="C47" s="132"/>
      <c r="D47" s="155"/>
      <c r="E47" s="86"/>
      <c r="F47" s="133" t="s">
        <v>321</v>
      </c>
      <c r="G47" s="134"/>
      <c r="H47" s="134"/>
      <c r="I47" s="134"/>
      <c r="J47" s="134"/>
      <c r="K47" s="134"/>
      <c r="L47" s="134"/>
      <c r="M47" s="135"/>
      <c r="N47" s="133" t="s">
        <v>363</v>
      </c>
      <c r="O47" s="134"/>
      <c r="P47" s="134"/>
      <c r="Q47" s="134"/>
      <c r="R47" s="134"/>
      <c r="S47" s="134"/>
      <c r="T47" s="134"/>
      <c r="U47" s="135"/>
      <c r="V47" s="133" t="s">
        <v>365</v>
      </c>
      <c r="W47" s="134"/>
      <c r="X47" s="134"/>
      <c r="Y47" s="134"/>
      <c r="Z47" s="134"/>
      <c r="AA47" s="134"/>
      <c r="AB47" s="134"/>
      <c r="AC47" s="135"/>
      <c r="AD47" s="133" t="s">
        <v>366</v>
      </c>
      <c r="AE47" s="134"/>
      <c r="AF47" s="134"/>
      <c r="AG47" s="134"/>
      <c r="AH47" s="134"/>
      <c r="AI47" s="134"/>
      <c r="AJ47" s="134"/>
      <c r="AK47" s="135"/>
      <c r="AL47" s="16">
        <v>14</v>
      </c>
      <c r="AT47" s="128"/>
      <c r="AV47" s="127"/>
      <c r="AX47" s="129"/>
    </row>
    <row r="48" spans="3:50" ht="41.45" customHeight="1">
      <c r="C48" s="132"/>
      <c r="D48" s="156"/>
      <c r="E48" s="86"/>
      <c r="F48" s="133" t="s">
        <v>321</v>
      </c>
      <c r="G48" s="134"/>
      <c r="H48" s="134"/>
      <c r="I48" s="134"/>
      <c r="J48" s="134"/>
      <c r="K48" s="134"/>
      <c r="L48" s="134"/>
      <c r="M48" s="135"/>
      <c r="N48" s="133" t="s">
        <v>364</v>
      </c>
      <c r="O48" s="134"/>
      <c r="P48" s="134"/>
      <c r="Q48" s="134"/>
      <c r="R48" s="134"/>
      <c r="S48" s="134"/>
      <c r="T48" s="134"/>
      <c r="U48" s="135"/>
      <c r="V48" s="133" t="s">
        <v>368</v>
      </c>
      <c r="W48" s="134"/>
      <c r="X48" s="134"/>
      <c r="Y48" s="134"/>
      <c r="Z48" s="134"/>
      <c r="AA48" s="134"/>
      <c r="AB48" s="134"/>
      <c r="AC48" s="135"/>
      <c r="AD48" s="133" t="s">
        <v>367</v>
      </c>
      <c r="AE48" s="134"/>
      <c r="AF48" s="134"/>
      <c r="AG48" s="134"/>
      <c r="AH48" s="134"/>
      <c r="AI48" s="134"/>
      <c r="AJ48" s="134"/>
      <c r="AK48" s="135"/>
      <c r="AL48" s="16">
        <v>15</v>
      </c>
      <c r="AM48" s="131" t="s">
        <v>335</v>
      </c>
      <c r="AN48" s="132"/>
      <c r="AO48" s="132"/>
      <c r="AP48" s="132"/>
      <c r="AQ48" s="132"/>
      <c r="AV48" s="127"/>
      <c r="AX48" s="129"/>
    </row>
    <row r="49" spans="3:50" ht="52.9" customHeight="1" thickBot="1">
      <c r="C49" s="132"/>
      <c r="D49" s="139"/>
      <c r="E49" s="136" t="s">
        <v>328</v>
      </c>
      <c r="F49" s="137"/>
      <c r="G49" s="137"/>
      <c r="H49" s="137"/>
      <c r="I49" s="137"/>
      <c r="J49" s="137"/>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8"/>
      <c r="AL49" s="16"/>
      <c r="AM49" s="131" t="s">
        <v>336</v>
      </c>
      <c r="AN49" s="131"/>
      <c r="AO49" s="131"/>
      <c r="AP49" s="131"/>
      <c r="AQ49" s="131"/>
      <c r="AV49" s="128"/>
      <c r="AX49" s="130"/>
    </row>
    <row r="50" spans="3:50" ht="41.45" customHeight="1">
      <c r="C50" s="132"/>
      <c r="D50" s="140"/>
      <c r="E50" s="86"/>
      <c r="F50" s="133" t="s">
        <v>321</v>
      </c>
      <c r="G50" s="134"/>
      <c r="H50" s="134"/>
      <c r="I50" s="134"/>
      <c r="J50" s="134"/>
      <c r="K50" s="134"/>
      <c r="L50" s="134"/>
      <c r="M50" s="135"/>
      <c r="N50" s="133" t="s">
        <v>376</v>
      </c>
      <c r="O50" s="134"/>
      <c r="P50" s="134"/>
      <c r="Q50" s="134"/>
      <c r="R50" s="134"/>
      <c r="S50" s="134"/>
      <c r="T50" s="134"/>
      <c r="U50" s="135"/>
      <c r="V50" s="133" t="s">
        <v>377</v>
      </c>
      <c r="W50" s="134"/>
      <c r="X50" s="134"/>
      <c r="Y50" s="134"/>
      <c r="Z50" s="134"/>
      <c r="AA50" s="134"/>
      <c r="AB50" s="134"/>
      <c r="AC50" s="135"/>
      <c r="AD50" s="133" t="s">
        <v>378</v>
      </c>
      <c r="AE50" s="134"/>
      <c r="AF50" s="134"/>
      <c r="AG50" s="134"/>
      <c r="AH50" s="134"/>
      <c r="AI50" s="134"/>
      <c r="AJ50" s="134"/>
      <c r="AK50" s="135"/>
      <c r="AL50" s="16">
        <v>176</v>
      </c>
      <c r="AM50" s="131"/>
      <c r="AN50" s="131"/>
      <c r="AO50" s="131"/>
      <c r="AP50" s="131"/>
      <c r="AQ50" s="131"/>
    </row>
    <row r="51" spans="3:50" ht="41.45" customHeight="1">
      <c r="C51" s="132"/>
      <c r="D51" s="141"/>
      <c r="E51" s="86"/>
      <c r="F51" s="133" t="s">
        <v>321</v>
      </c>
      <c r="G51" s="134"/>
      <c r="H51" s="134"/>
      <c r="I51" s="134"/>
      <c r="J51" s="134"/>
      <c r="K51" s="134"/>
      <c r="L51" s="134"/>
      <c r="M51" s="135"/>
      <c r="N51" s="133" t="s">
        <v>381</v>
      </c>
      <c r="O51" s="134"/>
      <c r="P51" s="134"/>
      <c r="Q51" s="134"/>
      <c r="R51" s="134"/>
      <c r="S51" s="134"/>
      <c r="T51" s="134"/>
      <c r="U51" s="135"/>
      <c r="V51" s="133" t="s">
        <v>380</v>
      </c>
      <c r="W51" s="134"/>
      <c r="X51" s="134"/>
      <c r="Y51" s="134"/>
      <c r="Z51" s="134"/>
      <c r="AA51" s="134"/>
      <c r="AB51" s="134"/>
      <c r="AC51" s="135"/>
      <c r="AD51" s="133" t="s">
        <v>379</v>
      </c>
      <c r="AE51" s="134"/>
      <c r="AF51" s="134"/>
      <c r="AG51" s="134"/>
      <c r="AH51" s="134"/>
      <c r="AI51" s="134"/>
      <c r="AJ51" s="134"/>
      <c r="AK51" s="135"/>
      <c r="AL51" s="16">
        <v>177</v>
      </c>
      <c r="AM51" s="131"/>
      <c r="AN51" s="131"/>
      <c r="AO51" s="131"/>
      <c r="AP51" s="131"/>
      <c r="AQ51" s="131"/>
    </row>
    <row r="56" spans="3:50" ht="15" thickBot="1"/>
    <row r="57" spans="3:50" ht="49.9" customHeight="1" thickBot="1">
      <c r="D57" s="123" t="s">
        <v>341</v>
      </c>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5"/>
    </row>
    <row r="58" spans="3:50">
      <c r="D58" s="88"/>
      <c r="E58" s="89" t="s">
        <v>41</v>
      </c>
      <c r="F58" s="90">
        <v>31</v>
      </c>
      <c r="G58" s="90">
        <v>30</v>
      </c>
      <c r="H58" s="90" t="s">
        <v>314</v>
      </c>
      <c r="I58" s="90" t="s">
        <v>315</v>
      </c>
      <c r="J58" s="90" t="s">
        <v>316</v>
      </c>
      <c r="K58" s="90" t="s">
        <v>317</v>
      </c>
      <c r="L58" s="90" t="s">
        <v>318</v>
      </c>
      <c r="M58" s="90" t="s">
        <v>319</v>
      </c>
      <c r="N58" s="88">
        <v>23</v>
      </c>
      <c r="O58" s="88">
        <v>22</v>
      </c>
      <c r="P58" s="88">
        <v>21</v>
      </c>
      <c r="Q58" s="88">
        <v>20</v>
      </c>
      <c r="R58" s="88">
        <v>19</v>
      </c>
      <c r="S58" s="88">
        <v>18</v>
      </c>
      <c r="T58" s="88">
        <v>17</v>
      </c>
      <c r="U58" s="88">
        <v>16</v>
      </c>
      <c r="V58" s="88">
        <v>15</v>
      </c>
      <c r="W58" s="88">
        <v>14</v>
      </c>
      <c r="X58" s="88">
        <v>13</v>
      </c>
      <c r="Y58" s="88">
        <v>12</v>
      </c>
      <c r="Z58" s="88">
        <v>11</v>
      </c>
      <c r="AA58" s="88">
        <v>10</v>
      </c>
      <c r="AB58" s="88">
        <v>9</v>
      </c>
      <c r="AC58" s="88">
        <v>8</v>
      </c>
      <c r="AD58" s="88">
        <v>7</v>
      </c>
      <c r="AE58" s="88">
        <v>6</v>
      </c>
      <c r="AF58" s="88">
        <v>5</v>
      </c>
      <c r="AG58" s="88">
        <v>4</v>
      </c>
      <c r="AH58" s="88">
        <v>3</v>
      </c>
      <c r="AI58" s="88">
        <v>2</v>
      </c>
      <c r="AJ58" s="88">
        <v>1</v>
      </c>
      <c r="AK58" s="88">
        <v>0</v>
      </c>
    </row>
    <row r="59" spans="3:50">
      <c r="D59" s="4" t="s">
        <v>39</v>
      </c>
      <c r="E59" s="18"/>
      <c r="F59" s="5" t="s">
        <v>9</v>
      </c>
      <c r="G59" s="115" t="s">
        <v>6</v>
      </c>
      <c r="H59" s="116"/>
      <c r="I59" s="116"/>
      <c r="J59" s="116"/>
      <c r="K59" s="116"/>
      <c r="L59" s="116"/>
      <c r="M59" s="117"/>
      <c r="N59" s="115" t="s">
        <v>7</v>
      </c>
      <c r="O59" s="116"/>
      <c r="P59" s="116"/>
      <c r="Q59" s="116"/>
      <c r="R59" s="116"/>
      <c r="S59" s="116"/>
      <c r="T59" s="116"/>
      <c r="U59" s="116"/>
      <c r="V59" s="116"/>
      <c r="W59" s="116"/>
      <c r="X59" s="116"/>
      <c r="Y59" s="116"/>
      <c r="Z59" s="116"/>
      <c r="AA59" s="116"/>
      <c r="AB59" s="116"/>
      <c r="AC59" s="116"/>
      <c r="AD59" s="116"/>
      <c r="AE59" s="116"/>
      <c r="AF59" s="116"/>
      <c r="AG59" s="116"/>
      <c r="AH59" s="116"/>
      <c r="AI59" s="116"/>
      <c r="AJ59" s="116"/>
      <c r="AK59" s="117"/>
    </row>
    <row r="60" spans="3:50" ht="60" customHeight="1">
      <c r="D60" s="6" t="s">
        <v>371</v>
      </c>
      <c r="E60" s="20">
        <v>126</v>
      </c>
      <c r="F60" s="7" t="s">
        <v>312</v>
      </c>
      <c r="G60" s="118" t="str">
        <f>"0x" &amp; DEC2HEX(E60,2)</f>
        <v>0x7E</v>
      </c>
      <c r="H60" s="119"/>
      <c r="I60" s="119"/>
      <c r="J60" s="119"/>
      <c r="K60" s="119"/>
      <c r="L60" s="119"/>
      <c r="M60" s="120"/>
      <c r="N60" s="118" t="s">
        <v>321</v>
      </c>
      <c r="O60" s="119"/>
      <c r="P60" s="119"/>
      <c r="Q60" s="119"/>
      <c r="R60" s="119"/>
      <c r="S60" s="119"/>
      <c r="T60" s="119"/>
      <c r="U60" s="119"/>
      <c r="V60" s="119"/>
      <c r="W60" s="119"/>
      <c r="X60" s="119"/>
      <c r="Y60" s="119"/>
      <c r="Z60" s="119"/>
      <c r="AA60" s="119"/>
      <c r="AB60" s="119"/>
      <c r="AC60" s="119"/>
      <c r="AD60" s="119"/>
      <c r="AE60" s="119"/>
      <c r="AF60" s="119"/>
      <c r="AG60" s="119"/>
      <c r="AH60" s="119"/>
      <c r="AI60" s="119"/>
      <c r="AJ60" s="120"/>
      <c r="AK60" s="87" t="s">
        <v>372</v>
      </c>
    </row>
    <row r="61" spans="3:50" ht="40.15" customHeight="1"/>
    <row r="62" spans="3:50">
      <c r="D62" s="12"/>
      <c r="E62" s="17" t="s">
        <v>41</v>
      </c>
      <c r="F62" s="13">
        <v>31</v>
      </c>
      <c r="G62" s="13">
        <v>30</v>
      </c>
      <c r="H62" s="13" t="s">
        <v>314</v>
      </c>
      <c r="I62" s="13" t="s">
        <v>315</v>
      </c>
      <c r="J62" s="13" t="s">
        <v>316</v>
      </c>
      <c r="K62" s="13" t="s">
        <v>317</v>
      </c>
      <c r="L62" s="13" t="s">
        <v>318</v>
      </c>
      <c r="M62" s="13" t="s">
        <v>319</v>
      </c>
      <c r="N62" s="12">
        <v>23</v>
      </c>
      <c r="O62" s="12">
        <v>22</v>
      </c>
      <c r="P62" s="12">
        <v>21</v>
      </c>
      <c r="Q62" s="12">
        <v>20</v>
      </c>
      <c r="R62" s="12">
        <v>19</v>
      </c>
      <c r="S62" s="12">
        <v>18</v>
      </c>
      <c r="T62" s="12">
        <v>17</v>
      </c>
      <c r="U62" s="12">
        <v>16</v>
      </c>
      <c r="V62" s="12">
        <v>15</v>
      </c>
      <c r="W62" s="12">
        <v>14</v>
      </c>
      <c r="X62" s="12">
        <v>13</v>
      </c>
      <c r="Y62" s="12">
        <v>12</v>
      </c>
      <c r="Z62" s="12">
        <v>11</v>
      </c>
      <c r="AA62" s="12">
        <v>10</v>
      </c>
      <c r="AB62" s="12">
        <v>9</v>
      </c>
      <c r="AC62" s="12">
        <v>8</v>
      </c>
      <c r="AD62" s="12">
        <v>7</v>
      </c>
      <c r="AE62" s="12">
        <v>6</v>
      </c>
      <c r="AF62" s="12">
        <v>5</v>
      </c>
      <c r="AG62" s="12">
        <v>4</v>
      </c>
      <c r="AH62" s="12">
        <v>3</v>
      </c>
      <c r="AI62" s="12">
        <v>2</v>
      </c>
      <c r="AJ62" s="12">
        <v>1</v>
      </c>
      <c r="AK62" s="12">
        <v>0</v>
      </c>
    </row>
    <row r="63" spans="3:50">
      <c r="D63" s="4" t="s">
        <v>39</v>
      </c>
      <c r="E63" s="18"/>
      <c r="F63" s="5" t="s">
        <v>9</v>
      </c>
      <c r="G63" s="115" t="s">
        <v>6</v>
      </c>
      <c r="H63" s="116"/>
      <c r="I63" s="116"/>
      <c r="J63" s="116"/>
      <c r="K63" s="116"/>
      <c r="L63" s="116"/>
      <c r="M63" s="117"/>
      <c r="N63" s="115" t="s">
        <v>7</v>
      </c>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7"/>
    </row>
    <row r="64" spans="3:50" ht="40.15" customHeight="1">
      <c r="D64" s="6" t="s">
        <v>329</v>
      </c>
      <c r="E64" s="20">
        <v>127</v>
      </c>
      <c r="F64" s="7" t="s">
        <v>313</v>
      </c>
      <c r="G64" s="118" t="str">
        <f>"0x" &amp; DEC2HEX(E64,2)</f>
        <v>0x7F</v>
      </c>
      <c r="H64" s="119"/>
      <c r="I64" s="119"/>
      <c r="J64" s="119"/>
      <c r="K64" s="119"/>
      <c r="L64" s="119"/>
      <c r="M64" s="120"/>
      <c r="N64" s="118" t="s">
        <v>321</v>
      </c>
      <c r="O64" s="119"/>
      <c r="P64" s="119"/>
      <c r="Q64" s="119"/>
      <c r="R64" s="119"/>
      <c r="S64" s="119"/>
      <c r="T64" s="119"/>
      <c r="U64" s="120"/>
      <c r="V64" s="118" t="s">
        <v>333</v>
      </c>
      <c r="W64" s="119"/>
      <c r="X64" s="119"/>
      <c r="Y64" s="119"/>
      <c r="Z64" s="119"/>
      <c r="AA64" s="119"/>
      <c r="AB64" s="119"/>
      <c r="AC64" s="119"/>
      <c r="AD64" s="119"/>
      <c r="AE64" s="119"/>
      <c r="AF64" s="119"/>
      <c r="AG64" s="119"/>
      <c r="AH64" s="119"/>
      <c r="AI64" s="119"/>
      <c r="AJ64" s="119"/>
      <c r="AK64" s="120"/>
      <c r="AL64" s="16">
        <v>0</v>
      </c>
    </row>
    <row r="65" spans="4:38" ht="40.15" customHeight="1">
      <c r="D65" s="6" t="s">
        <v>331</v>
      </c>
      <c r="E65" s="20"/>
      <c r="F65" s="133" t="s">
        <v>321</v>
      </c>
      <c r="G65" s="134"/>
      <c r="H65" s="134"/>
      <c r="I65" s="134"/>
      <c r="J65" s="134"/>
      <c r="K65" s="134"/>
      <c r="L65" s="134"/>
      <c r="M65" s="135"/>
      <c r="N65" s="133" t="s">
        <v>332</v>
      </c>
      <c r="O65" s="134"/>
      <c r="P65" s="134"/>
      <c r="Q65" s="134"/>
      <c r="R65" s="134"/>
      <c r="S65" s="134"/>
      <c r="T65" s="134"/>
      <c r="U65" s="134"/>
      <c r="V65" s="134"/>
      <c r="W65" s="134"/>
      <c r="X65" s="134"/>
      <c r="Y65" s="134"/>
      <c r="Z65" s="134"/>
      <c r="AA65" s="134"/>
      <c r="AB65" s="134"/>
      <c r="AC65" s="134"/>
      <c r="AD65" s="134"/>
      <c r="AE65" s="134"/>
      <c r="AF65" s="134"/>
      <c r="AG65" s="134"/>
      <c r="AH65" s="134"/>
      <c r="AI65" s="134"/>
      <c r="AJ65" s="134"/>
      <c r="AK65" s="135"/>
      <c r="AL65" s="16">
        <v>1</v>
      </c>
    </row>
    <row r="66" spans="4:38" ht="40.15" customHeight="1">
      <c r="D66" s="154" t="s">
        <v>334</v>
      </c>
      <c r="E66" s="86"/>
      <c r="F66" s="133" t="s">
        <v>321</v>
      </c>
      <c r="G66" s="134"/>
      <c r="H66" s="134"/>
      <c r="I66" s="134"/>
      <c r="J66" s="134"/>
      <c r="K66" s="134"/>
      <c r="L66" s="134"/>
      <c r="M66" s="135"/>
      <c r="N66" s="133" t="s">
        <v>373</v>
      </c>
      <c r="O66" s="134"/>
      <c r="P66" s="134"/>
      <c r="Q66" s="134"/>
      <c r="R66" s="134"/>
      <c r="S66" s="134"/>
      <c r="T66" s="134"/>
      <c r="U66" s="135"/>
      <c r="V66" s="133" t="s">
        <v>374</v>
      </c>
      <c r="W66" s="134"/>
      <c r="X66" s="134"/>
      <c r="Y66" s="134"/>
      <c r="Z66" s="134"/>
      <c r="AA66" s="134"/>
      <c r="AB66" s="134"/>
      <c r="AC66" s="135"/>
      <c r="AD66" s="133" t="s">
        <v>375</v>
      </c>
      <c r="AE66" s="134"/>
      <c r="AF66" s="134"/>
      <c r="AG66" s="134"/>
      <c r="AH66" s="134"/>
      <c r="AI66" s="134"/>
      <c r="AJ66" s="134"/>
      <c r="AK66" s="135"/>
      <c r="AL66" s="16">
        <v>2</v>
      </c>
    </row>
    <row r="67" spans="4:38" ht="40.15" customHeight="1">
      <c r="D67" s="160"/>
      <c r="E67" s="86"/>
      <c r="F67" s="133" t="s">
        <v>321</v>
      </c>
      <c r="G67" s="134"/>
      <c r="H67" s="134"/>
      <c r="I67" s="134"/>
      <c r="J67" s="134"/>
      <c r="K67" s="134"/>
      <c r="L67" s="134"/>
      <c r="M67" s="135"/>
      <c r="N67" s="133" t="s">
        <v>324</v>
      </c>
      <c r="O67" s="134"/>
      <c r="P67" s="134"/>
      <c r="Q67" s="134"/>
      <c r="R67" s="134"/>
      <c r="S67" s="134"/>
      <c r="T67" s="134"/>
      <c r="U67" s="135"/>
      <c r="V67" s="133" t="s">
        <v>323</v>
      </c>
      <c r="W67" s="134"/>
      <c r="X67" s="134"/>
      <c r="Y67" s="134"/>
      <c r="Z67" s="134"/>
      <c r="AA67" s="134"/>
      <c r="AB67" s="134"/>
      <c r="AC67" s="135"/>
      <c r="AD67" s="133" t="s">
        <v>322</v>
      </c>
      <c r="AE67" s="134"/>
      <c r="AF67" s="134"/>
      <c r="AG67" s="134"/>
      <c r="AH67" s="134"/>
      <c r="AI67" s="134"/>
      <c r="AJ67" s="134"/>
      <c r="AK67" s="135"/>
      <c r="AL67" s="16">
        <v>3</v>
      </c>
    </row>
    <row r="68" spans="4:38" ht="40.15" customHeight="1">
      <c r="D68" s="160"/>
      <c r="E68" s="86"/>
      <c r="F68" s="133" t="s">
        <v>321</v>
      </c>
      <c r="G68" s="134"/>
      <c r="H68" s="134"/>
      <c r="I68" s="134"/>
      <c r="J68" s="134"/>
      <c r="K68" s="134"/>
      <c r="L68" s="134"/>
      <c r="M68" s="135"/>
      <c r="N68" s="133" t="s">
        <v>327</v>
      </c>
      <c r="O68" s="134"/>
      <c r="P68" s="134"/>
      <c r="Q68" s="134"/>
      <c r="R68" s="134"/>
      <c r="S68" s="134"/>
      <c r="T68" s="134"/>
      <c r="U68" s="135"/>
      <c r="V68" s="133" t="s">
        <v>326</v>
      </c>
      <c r="W68" s="134"/>
      <c r="X68" s="134"/>
      <c r="Y68" s="134"/>
      <c r="Z68" s="134"/>
      <c r="AA68" s="134"/>
      <c r="AB68" s="134"/>
      <c r="AC68" s="135"/>
      <c r="AD68" s="133" t="s">
        <v>325</v>
      </c>
      <c r="AE68" s="134"/>
      <c r="AF68" s="134"/>
      <c r="AG68" s="134"/>
      <c r="AH68" s="134"/>
      <c r="AI68" s="134"/>
      <c r="AJ68" s="134"/>
      <c r="AK68" s="135"/>
      <c r="AL68" s="16">
        <v>4</v>
      </c>
    </row>
    <row r="69" spans="4:38" ht="40.15" customHeight="1">
      <c r="D69" s="160"/>
      <c r="E69" s="136" t="s">
        <v>328</v>
      </c>
      <c r="F69" s="137"/>
      <c r="G69" s="137"/>
      <c r="H69" s="137"/>
      <c r="I69" s="137"/>
      <c r="J69" s="137"/>
      <c r="K69" s="137"/>
      <c r="L69" s="137"/>
      <c r="M69" s="137"/>
      <c r="N69" s="137"/>
      <c r="O69" s="137"/>
      <c r="P69" s="137"/>
      <c r="Q69" s="137"/>
      <c r="R69" s="137"/>
      <c r="S69" s="137"/>
      <c r="T69" s="137"/>
      <c r="U69" s="137"/>
      <c r="V69" s="137"/>
      <c r="W69" s="137"/>
      <c r="X69" s="137"/>
      <c r="Y69" s="137"/>
      <c r="Z69" s="137"/>
      <c r="AA69" s="137"/>
      <c r="AB69" s="137"/>
      <c r="AC69" s="137"/>
      <c r="AD69" s="137"/>
      <c r="AE69" s="137"/>
      <c r="AF69" s="137"/>
      <c r="AG69" s="137"/>
      <c r="AH69" s="137"/>
      <c r="AI69" s="137"/>
      <c r="AJ69" s="137"/>
      <c r="AK69" s="138"/>
      <c r="AL69" s="16"/>
    </row>
    <row r="70" spans="4:38" ht="40.15" customHeight="1">
      <c r="D70" s="160"/>
      <c r="E70" s="86"/>
      <c r="F70" s="133" t="s">
        <v>321</v>
      </c>
      <c r="G70" s="134"/>
      <c r="H70" s="134"/>
      <c r="I70" s="134"/>
      <c r="J70" s="134"/>
      <c r="K70" s="134"/>
      <c r="L70" s="134"/>
      <c r="M70" s="135"/>
      <c r="N70" s="133" t="s">
        <v>363</v>
      </c>
      <c r="O70" s="134"/>
      <c r="P70" s="134"/>
      <c r="Q70" s="134"/>
      <c r="R70" s="134"/>
      <c r="S70" s="134"/>
      <c r="T70" s="134"/>
      <c r="U70" s="135"/>
      <c r="V70" s="133" t="s">
        <v>365</v>
      </c>
      <c r="W70" s="134"/>
      <c r="X70" s="134"/>
      <c r="Y70" s="134"/>
      <c r="Z70" s="134"/>
      <c r="AA70" s="134"/>
      <c r="AB70" s="134"/>
      <c r="AC70" s="135"/>
      <c r="AD70" s="133" t="s">
        <v>366</v>
      </c>
      <c r="AE70" s="134"/>
      <c r="AF70" s="134"/>
      <c r="AG70" s="134"/>
      <c r="AH70" s="134"/>
      <c r="AI70" s="134"/>
      <c r="AJ70" s="134"/>
      <c r="AK70" s="135"/>
      <c r="AL70" s="16">
        <v>14</v>
      </c>
    </row>
    <row r="71" spans="4:38" ht="40.15" customHeight="1">
      <c r="D71" s="161"/>
      <c r="E71" s="86"/>
      <c r="F71" s="133" t="s">
        <v>321</v>
      </c>
      <c r="G71" s="134"/>
      <c r="H71" s="134"/>
      <c r="I71" s="134"/>
      <c r="J71" s="134"/>
      <c r="K71" s="134"/>
      <c r="L71" s="134"/>
      <c r="M71" s="135"/>
      <c r="N71" s="133" t="s">
        <v>364</v>
      </c>
      <c r="O71" s="134"/>
      <c r="P71" s="134"/>
      <c r="Q71" s="134"/>
      <c r="R71" s="134"/>
      <c r="S71" s="134"/>
      <c r="T71" s="134"/>
      <c r="U71" s="135"/>
      <c r="V71" s="133" t="s">
        <v>368</v>
      </c>
      <c r="W71" s="134"/>
      <c r="X71" s="134"/>
      <c r="Y71" s="134"/>
      <c r="Z71" s="134"/>
      <c r="AA71" s="134"/>
      <c r="AB71" s="134"/>
      <c r="AC71" s="135"/>
      <c r="AD71" s="133" t="s">
        <v>367</v>
      </c>
      <c r="AE71" s="134"/>
      <c r="AF71" s="134"/>
      <c r="AG71" s="134"/>
      <c r="AH71" s="134"/>
      <c r="AI71" s="134"/>
      <c r="AJ71" s="134"/>
      <c r="AK71" s="135"/>
      <c r="AL71" s="16">
        <v>15</v>
      </c>
    </row>
    <row r="72" spans="4:38" ht="40.15" customHeight="1">
      <c r="D72" s="139"/>
      <c r="E72" s="136" t="s">
        <v>328</v>
      </c>
      <c r="F72" s="137"/>
      <c r="G72" s="137"/>
      <c r="H72" s="137"/>
      <c r="I72" s="137"/>
      <c r="J72" s="137"/>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c r="AH72" s="137"/>
      <c r="AI72" s="137"/>
      <c r="AJ72" s="137"/>
      <c r="AK72" s="138"/>
      <c r="AL72" s="16"/>
    </row>
    <row r="73" spans="4:38" ht="40.15" customHeight="1">
      <c r="D73" s="140"/>
      <c r="E73" s="86"/>
      <c r="F73" s="133" t="s">
        <v>321</v>
      </c>
      <c r="G73" s="134"/>
      <c r="H73" s="134"/>
      <c r="I73" s="134"/>
      <c r="J73" s="134"/>
      <c r="K73" s="134"/>
      <c r="L73" s="134"/>
      <c r="M73" s="135"/>
      <c r="N73" s="133" t="s">
        <v>376</v>
      </c>
      <c r="O73" s="134"/>
      <c r="P73" s="134"/>
      <c r="Q73" s="134"/>
      <c r="R73" s="134"/>
      <c r="S73" s="134"/>
      <c r="T73" s="134"/>
      <c r="U73" s="135"/>
      <c r="V73" s="133" t="s">
        <v>377</v>
      </c>
      <c r="W73" s="134"/>
      <c r="X73" s="134"/>
      <c r="Y73" s="134"/>
      <c r="Z73" s="134"/>
      <c r="AA73" s="134"/>
      <c r="AB73" s="134"/>
      <c r="AC73" s="135"/>
      <c r="AD73" s="133" t="s">
        <v>378</v>
      </c>
      <c r="AE73" s="134"/>
      <c r="AF73" s="134"/>
      <c r="AG73" s="134"/>
      <c r="AH73" s="134"/>
      <c r="AI73" s="134"/>
      <c r="AJ73" s="134"/>
      <c r="AK73" s="135"/>
      <c r="AL73" s="16">
        <v>176</v>
      </c>
    </row>
    <row r="74" spans="4:38" ht="40.15" customHeight="1">
      <c r="D74" s="141"/>
      <c r="E74" s="86"/>
      <c r="F74" s="133" t="s">
        <v>321</v>
      </c>
      <c r="G74" s="134"/>
      <c r="H74" s="134"/>
      <c r="I74" s="134"/>
      <c r="J74" s="134"/>
      <c r="K74" s="134"/>
      <c r="L74" s="134"/>
      <c r="M74" s="135"/>
      <c r="N74" s="133" t="s">
        <v>381</v>
      </c>
      <c r="O74" s="134"/>
      <c r="P74" s="134"/>
      <c r="Q74" s="134"/>
      <c r="R74" s="134"/>
      <c r="S74" s="134"/>
      <c r="T74" s="134"/>
      <c r="U74" s="135"/>
      <c r="V74" s="133" t="s">
        <v>380</v>
      </c>
      <c r="W74" s="134"/>
      <c r="X74" s="134"/>
      <c r="Y74" s="134"/>
      <c r="Z74" s="134"/>
      <c r="AA74" s="134"/>
      <c r="AB74" s="134"/>
      <c r="AC74" s="135"/>
      <c r="AD74" s="133" t="s">
        <v>379</v>
      </c>
      <c r="AE74" s="134"/>
      <c r="AF74" s="134"/>
      <c r="AG74" s="134"/>
      <c r="AH74" s="134"/>
      <c r="AI74" s="134"/>
      <c r="AJ74" s="134"/>
      <c r="AK74" s="135"/>
      <c r="AL74" s="16">
        <v>177</v>
      </c>
    </row>
  </sheetData>
  <mergeCells count="157">
    <mergeCell ref="D3:AK3"/>
    <mergeCell ref="G5:M5"/>
    <mergeCell ref="N5:AK5"/>
    <mergeCell ref="G6:M6"/>
    <mergeCell ref="N6:AK6"/>
    <mergeCell ref="R32:AK32"/>
    <mergeCell ref="N37:AJ37"/>
    <mergeCell ref="D66:D71"/>
    <mergeCell ref="F66:M66"/>
    <mergeCell ref="N66:U66"/>
    <mergeCell ref="V66:AC66"/>
    <mergeCell ref="AD66:AK66"/>
    <mergeCell ref="F67:M67"/>
    <mergeCell ref="N67:U67"/>
    <mergeCell ref="V67:AC67"/>
    <mergeCell ref="AD70:AK70"/>
    <mergeCell ref="V70:AC70"/>
    <mergeCell ref="N71:U71"/>
    <mergeCell ref="V71:AC71"/>
    <mergeCell ref="AD71:AK71"/>
    <mergeCell ref="AD67:AK67"/>
    <mergeCell ref="F68:M68"/>
    <mergeCell ref="N68:U68"/>
    <mergeCell ref="V68:AC68"/>
    <mergeCell ref="AD68:AK68"/>
    <mergeCell ref="E69:AK69"/>
    <mergeCell ref="AD51:AK51"/>
    <mergeCell ref="AD48:AK48"/>
    <mergeCell ref="F44:M44"/>
    <mergeCell ref="N44:U44"/>
    <mergeCell ref="V44:AC44"/>
    <mergeCell ref="AD44:AK44"/>
    <mergeCell ref="F45:M45"/>
    <mergeCell ref="F65:M65"/>
    <mergeCell ref="N65:AK65"/>
    <mergeCell ref="N45:U45"/>
    <mergeCell ref="V45:AC45"/>
    <mergeCell ref="AD45:AK45"/>
    <mergeCell ref="C43:C51"/>
    <mergeCell ref="F71:M71"/>
    <mergeCell ref="N70:U70"/>
    <mergeCell ref="F70:M70"/>
    <mergeCell ref="G59:M59"/>
    <mergeCell ref="N59:AK59"/>
    <mergeCell ref="N42:AK42"/>
    <mergeCell ref="V41:AK41"/>
    <mergeCell ref="N40:AK40"/>
    <mergeCell ref="D49:D51"/>
    <mergeCell ref="G60:M60"/>
    <mergeCell ref="D43:D48"/>
    <mergeCell ref="E46:AK46"/>
    <mergeCell ref="E49:AK49"/>
    <mergeCell ref="F50:M50"/>
    <mergeCell ref="N50:U50"/>
    <mergeCell ref="V50:AC50"/>
    <mergeCell ref="AD50:AK50"/>
    <mergeCell ref="F47:M47"/>
    <mergeCell ref="N47:U47"/>
    <mergeCell ref="V47:AC47"/>
    <mergeCell ref="AD47:AK47"/>
    <mergeCell ref="F48:M48"/>
    <mergeCell ref="N48:U48"/>
    <mergeCell ref="E72:AK72"/>
    <mergeCell ref="D72:D74"/>
    <mergeCell ref="D34:AL34"/>
    <mergeCell ref="D57:AK57"/>
    <mergeCell ref="AT42:AT47"/>
    <mergeCell ref="AD74:AK74"/>
    <mergeCell ref="V74:AC74"/>
    <mergeCell ref="N74:U74"/>
    <mergeCell ref="F74:M74"/>
    <mergeCell ref="AD73:AK73"/>
    <mergeCell ref="V73:AC73"/>
    <mergeCell ref="N73:U73"/>
    <mergeCell ref="F73:M73"/>
    <mergeCell ref="N64:U64"/>
    <mergeCell ref="V48:AC48"/>
    <mergeCell ref="G64:M64"/>
    <mergeCell ref="N60:AJ60"/>
    <mergeCell ref="AM41:AQ46"/>
    <mergeCell ref="V64:AK64"/>
    <mergeCell ref="G63:M63"/>
    <mergeCell ref="N63:AK63"/>
    <mergeCell ref="F51:M51"/>
    <mergeCell ref="N51:U51"/>
    <mergeCell ref="V51:AC51"/>
    <mergeCell ref="AV42:AV49"/>
    <mergeCell ref="AX42:AX49"/>
    <mergeCell ref="G14:M14"/>
    <mergeCell ref="O16:U16"/>
    <mergeCell ref="V16:AK16"/>
    <mergeCell ref="G17:M17"/>
    <mergeCell ref="O17:U17"/>
    <mergeCell ref="V17:AK17"/>
    <mergeCell ref="G18:M18"/>
    <mergeCell ref="O18:U18"/>
    <mergeCell ref="V18:AK18"/>
    <mergeCell ref="AM49:AQ51"/>
    <mergeCell ref="G15:M15"/>
    <mergeCell ref="G16:M16"/>
    <mergeCell ref="AM48:AQ48"/>
    <mergeCell ref="N41:U41"/>
    <mergeCell ref="F42:M42"/>
    <mergeCell ref="F43:M43"/>
    <mergeCell ref="N43:U43"/>
    <mergeCell ref="V43:AC43"/>
    <mergeCell ref="AD43:AK43"/>
    <mergeCell ref="G40:M40"/>
    <mergeCell ref="G41:M41"/>
    <mergeCell ref="G36:M36"/>
    <mergeCell ref="G19:M19"/>
    <mergeCell ref="O19:U19"/>
    <mergeCell ref="V19:AK19"/>
    <mergeCell ref="G20:M20"/>
    <mergeCell ref="O20:U20"/>
    <mergeCell ref="V20:AK20"/>
    <mergeCell ref="D12:AL12"/>
    <mergeCell ref="N14:AK14"/>
    <mergeCell ref="V15:AK15"/>
    <mergeCell ref="O15:U15"/>
    <mergeCell ref="V26:AK26"/>
    <mergeCell ref="G23:M23"/>
    <mergeCell ref="O23:U23"/>
    <mergeCell ref="V23:AK23"/>
    <mergeCell ref="G24:M24"/>
    <mergeCell ref="O24:U24"/>
    <mergeCell ref="V24:AK24"/>
    <mergeCell ref="G21:M21"/>
    <mergeCell ref="O21:U21"/>
    <mergeCell ref="V21:AK21"/>
    <mergeCell ref="G22:M22"/>
    <mergeCell ref="O22:U22"/>
    <mergeCell ref="V22:AK22"/>
    <mergeCell ref="N36:AK36"/>
    <mergeCell ref="G37:M37"/>
    <mergeCell ref="G7:M7"/>
    <mergeCell ref="G8:M8"/>
    <mergeCell ref="G9:M9"/>
    <mergeCell ref="N7:Q7"/>
    <mergeCell ref="N8:Q8"/>
    <mergeCell ref="N9:Q9"/>
    <mergeCell ref="R7:X7"/>
    <mergeCell ref="AF7:AK7"/>
    <mergeCell ref="Y7:AE7"/>
    <mergeCell ref="AD8:AK8"/>
    <mergeCell ref="AD9:AK9"/>
    <mergeCell ref="R8:AB8"/>
    <mergeCell ref="R9:AB9"/>
    <mergeCell ref="D29:AK29"/>
    <mergeCell ref="G31:M31"/>
    <mergeCell ref="N31:AK31"/>
    <mergeCell ref="G32:M32"/>
    <mergeCell ref="G25:M25"/>
    <mergeCell ref="O25:U25"/>
    <mergeCell ref="V25:AK25"/>
    <mergeCell ref="G26:M26"/>
    <mergeCell ref="O26:U26"/>
  </mergeCells>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E83-8F64-4FCD-9F1F-3130D1CF2600}">
  <dimension ref="D4:J27"/>
  <sheetViews>
    <sheetView topLeftCell="E1" zoomScale="85" zoomScaleNormal="85" workbookViewId="0">
      <selection activeCell="I31" sqref="I31"/>
    </sheetView>
  </sheetViews>
  <sheetFormatPr defaultRowHeight="14.25"/>
  <cols>
    <col min="4" max="4" width="25.5" customWidth="1"/>
    <col min="5" max="5" width="13.125" customWidth="1"/>
    <col min="6" max="6" width="38" style="2" customWidth="1"/>
    <col min="7" max="7" width="15.125" style="1" customWidth="1"/>
    <col min="8" max="8" width="41.5" style="19" customWidth="1"/>
    <col min="9" max="9" width="54" customWidth="1"/>
    <col min="10" max="10" width="26.875" customWidth="1"/>
  </cols>
  <sheetData>
    <row r="4" spans="4:10" ht="15" thickBot="1"/>
    <row r="5" spans="4:10" ht="15.75" thickBot="1">
      <c r="D5" s="79"/>
      <c r="E5" s="72" t="s">
        <v>231</v>
      </c>
      <c r="F5" s="72" t="s">
        <v>232</v>
      </c>
      <c r="G5" s="72" t="s">
        <v>233</v>
      </c>
      <c r="H5" s="72" t="s">
        <v>234</v>
      </c>
      <c r="I5" s="80" t="s">
        <v>71</v>
      </c>
      <c r="J5" s="72" t="s">
        <v>301</v>
      </c>
    </row>
    <row r="6" spans="4:10" ht="15" thickBot="1">
      <c r="D6" s="162" t="s">
        <v>295</v>
      </c>
      <c r="E6" s="73">
        <v>1</v>
      </c>
      <c r="F6" s="74" t="s">
        <v>235</v>
      </c>
      <c r="G6" s="74" t="s">
        <v>236</v>
      </c>
      <c r="H6" s="74" t="s">
        <v>237</v>
      </c>
      <c r="I6" s="78" t="s">
        <v>238</v>
      </c>
      <c r="J6" s="74"/>
    </row>
    <row r="7" spans="4:10" ht="15" thickBot="1">
      <c r="D7" s="163"/>
      <c r="E7" s="73">
        <v>2</v>
      </c>
      <c r="F7" s="74" t="s">
        <v>239</v>
      </c>
      <c r="G7" s="74" t="s">
        <v>236</v>
      </c>
      <c r="H7" s="74" t="s">
        <v>237</v>
      </c>
      <c r="I7" s="78" t="s">
        <v>240</v>
      </c>
      <c r="J7" s="74"/>
    </row>
    <row r="8" spans="4:10" ht="15" thickBot="1">
      <c r="D8" s="163"/>
      <c r="E8" s="73">
        <v>3</v>
      </c>
      <c r="F8" s="74" t="s">
        <v>241</v>
      </c>
      <c r="G8" s="74" t="s">
        <v>236</v>
      </c>
      <c r="H8" s="74" t="s">
        <v>237</v>
      </c>
      <c r="I8" s="78" t="s">
        <v>242</v>
      </c>
      <c r="J8" s="74"/>
    </row>
    <row r="9" spans="4:10" ht="15" thickBot="1">
      <c r="D9" s="163"/>
      <c r="E9" s="73">
        <v>4</v>
      </c>
      <c r="F9" s="74" t="s">
        <v>243</v>
      </c>
      <c r="G9" s="74" t="s">
        <v>236</v>
      </c>
      <c r="H9" s="74" t="s">
        <v>237</v>
      </c>
      <c r="I9" s="78" t="s">
        <v>244</v>
      </c>
      <c r="J9" s="74"/>
    </row>
    <row r="10" spans="4:10" ht="15" thickBot="1">
      <c r="D10" s="163"/>
      <c r="E10" s="73">
        <v>5</v>
      </c>
      <c r="F10" s="74" t="s">
        <v>245</v>
      </c>
      <c r="G10" s="74" t="s">
        <v>246</v>
      </c>
      <c r="H10" s="74" t="s">
        <v>237</v>
      </c>
      <c r="I10" s="78" t="s">
        <v>247</v>
      </c>
      <c r="J10" s="74"/>
    </row>
    <row r="11" spans="4:10" ht="15" thickBot="1">
      <c r="D11" s="163"/>
      <c r="E11" s="73">
        <v>6</v>
      </c>
      <c r="F11" s="74" t="s">
        <v>248</v>
      </c>
      <c r="G11" s="74" t="s">
        <v>246</v>
      </c>
      <c r="H11" s="74" t="s">
        <v>237</v>
      </c>
      <c r="I11" s="78" t="s">
        <v>249</v>
      </c>
      <c r="J11" s="74"/>
    </row>
    <row r="12" spans="4:10" ht="15" thickBot="1">
      <c r="D12" s="163"/>
      <c r="E12" s="73">
        <v>7</v>
      </c>
      <c r="F12" s="74" t="s">
        <v>250</v>
      </c>
      <c r="G12" s="74" t="s">
        <v>236</v>
      </c>
      <c r="H12" s="74" t="s">
        <v>237</v>
      </c>
      <c r="I12" s="78" t="s">
        <v>251</v>
      </c>
      <c r="J12" s="74"/>
    </row>
    <row r="13" spans="4:10" ht="15" thickBot="1">
      <c r="D13" s="163"/>
      <c r="E13" s="73">
        <v>8</v>
      </c>
      <c r="F13" s="74" t="s">
        <v>252</v>
      </c>
      <c r="G13" s="74" t="s">
        <v>236</v>
      </c>
      <c r="H13" s="74" t="s">
        <v>237</v>
      </c>
      <c r="I13" s="78" t="s">
        <v>253</v>
      </c>
      <c r="J13" s="74"/>
    </row>
    <row r="14" spans="4:10" ht="15" thickBot="1">
      <c r="D14" s="163"/>
      <c r="E14" s="73">
        <v>9</v>
      </c>
      <c r="F14" s="74" t="s">
        <v>254</v>
      </c>
      <c r="G14" s="74" t="s">
        <v>236</v>
      </c>
      <c r="H14" s="74" t="s">
        <v>237</v>
      </c>
      <c r="I14" s="78" t="s">
        <v>255</v>
      </c>
      <c r="J14" s="74"/>
    </row>
    <row r="15" spans="4:10" ht="15" thickBot="1">
      <c r="D15" s="163"/>
      <c r="E15" s="73">
        <v>10</v>
      </c>
      <c r="F15" s="74" t="s">
        <v>256</v>
      </c>
      <c r="G15" s="74" t="s">
        <v>236</v>
      </c>
      <c r="H15" s="74" t="s">
        <v>237</v>
      </c>
      <c r="I15" s="78" t="s">
        <v>257</v>
      </c>
      <c r="J15" s="74"/>
    </row>
    <row r="16" spans="4:10" ht="15" thickBot="1">
      <c r="D16" s="163"/>
      <c r="E16" s="73">
        <v>11</v>
      </c>
      <c r="F16" s="74" t="s">
        <v>258</v>
      </c>
      <c r="G16" s="74" t="s">
        <v>246</v>
      </c>
      <c r="H16" s="74" t="s">
        <v>237</v>
      </c>
      <c r="I16" s="78" t="s">
        <v>259</v>
      </c>
      <c r="J16" s="74"/>
    </row>
    <row r="17" spans="4:10" ht="15" thickBot="1">
      <c r="D17" s="164"/>
      <c r="E17" s="73">
        <v>12</v>
      </c>
      <c r="F17" s="74" t="s">
        <v>260</v>
      </c>
      <c r="G17" s="74" t="s">
        <v>246</v>
      </c>
      <c r="H17" s="74" t="s">
        <v>237</v>
      </c>
      <c r="I17" s="78" t="s">
        <v>261</v>
      </c>
      <c r="J17" s="74"/>
    </row>
    <row r="18" spans="4:10" ht="15" thickBot="1">
      <c r="D18" s="162" t="s">
        <v>262</v>
      </c>
      <c r="E18" s="73">
        <v>13</v>
      </c>
      <c r="F18" s="74" t="s">
        <v>263</v>
      </c>
      <c r="G18" s="74" t="s">
        <v>246</v>
      </c>
      <c r="H18" s="74" t="s">
        <v>237</v>
      </c>
      <c r="I18" s="78" t="s">
        <v>264</v>
      </c>
      <c r="J18" s="74"/>
    </row>
    <row r="19" spans="4:10" ht="15" thickBot="1">
      <c r="D19" s="165"/>
      <c r="E19" s="73">
        <v>14</v>
      </c>
      <c r="F19" s="74" t="s">
        <v>265</v>
      </c>
      <c r="G19" s="74" t="s">
        <v>246</v>
      </c>
      <c r="H19" s="74" t="s">
        <v>237</v>
      </c>
      <c r="I19" s="78" t="s">
        <v>266</v>
      </c>
      <c r="J19" s="74"/>
    </row>
    <row r="20" spans="4:10" ht="15" thickBot="1">
      <c r="D20" s="165"/>
      <c r="E20" s="73">
        <v>15</v>
      </c>
      <c r="F20" s="74" t="s">
        <v>282</v>
      </c>
      <c r="G20" s="74" t="s">
        <v>267</v>
      </c>
      <c r="H20" s="74" t="s">
        <v>237</v>
      </c>
      <c r="I20" s="78" t="s">
        <v>268</v>
      </c>
      <c r="J20" s="74"/>
    </row>
    <row r="21" spans="4:10" ht="15" thickBot="1">
      <c r="D21" s="165"/>
      <c r="E21" s="73">
        <v>16</v>
      </c>
      <c r="F21" s="74" t="s">
        <v>283</v>
      </c>
      <c r="G21" s="74" t="s">
        <v>267</v>
      </c>
      <c r="H21" s="74" t="s">
        <v>237</v>
      </c>
      <c r="I21" s="78" t="s">
        <v>269</v>
      </c>
      <c r="J21" s="74"/>
    </row>
    <row r="22" spans="4:10" ht="15" thickBot="1">
      <c r="D22" s="165"/>
      <c r="E22" s="73">
        <v>17</v>
      </c>
      <c r="F22" s="75" t="s">
        <v>270</v>
      </c>
      <c r="G22" s="74" t="s">
        <v>271</v>
      </c>
      <c r="H22" s="74" t="s">
        <v>272</v>
      </c>
      <c r="I22" s="78" t="s">
        <v>273</v>
      </c>
      <c r="J22" s="74"/>
    </row>
    <row r="23" spans="4:10" ht="15" thickBot="1">
      <c r="D23" s="165"/>
      <c r="E23" s="73">
        <v>18</v>
      </c>
      <c r="F23" s="74" t="s">
        <v>285</v>
      </c>
      <c r="G23" s="74" t="s">
        <v>267</v>
      </c>
      <c r="H23" s="74" t="s">
        <v>237</v>
      </c>
      <c r="I23" s="78" t="s">
        <v>268</v>
      </c>
      <c r="J23" s="71" t="s">
        <v>297</v>
      </c>
    </row>
    <row r="24" spans="4:10" ht="15" thickBot="1">
      <c r="D24" s="166"/>
      <c r="E24" s="73">
        <v>19</v>
      </c>
      <c r="F24" s="74" t="s">
        <v>286</v>
      </c>
      <c r="G24" s="74" t="s">
        <v>267</v>
      </c>
      <c r="H24" s="74" t="s">
        <v>237</v>
      </c>
      <c r="I24" s="78" t="s">
        <v>269</v>
      </c>
      <c r="J24" s="71" t="s">
        <v>298</v>
      </c>
    </row>
    <row r="25" spans="4:10" ht="15" thickBot="1">
      <c r="D25" s="167" t="s">
        <v>296</v>
      </c>
      <c r="E25" s="73">
        <v>20</v>
      </c>
      <c r="F25" s="77" t="s">
        <v>279</v>
      </c>
      <c r="G25" s="77" t="s">
        <v>267</v>
      </c>
      <c r="H25" s="77" t="s">
        <v>280</v>
      </c>
      <c r="I25" s="81" t="s">
        <v>281</v>
      </c>
      <c r="J25" s="71" t="s">
        <v>299</v>
      </c>
    </row>
    <row r="26" spans="4:10" ht="15" thickBot="1">
      <c r="D26" s="165"/>
      <c r="E26" s="73">
        <v>21</v>
      </c>
      <c r="F26" s="75" t="s">
        <v>274</v>
      </c>
      <c r="G26" s="74" t="s">
        <v>271</v>
      </c>
      <c r="H26" s="74" t="s">
        <v>272</v>
      </c>
      <c r="I26" s="78" t="s">
        <v>275</v>
      </c>
      <c r="J26" s="74"/>
    </row>
    <row r="27" spans="4:10" ht="29.25" thickBot="1">
      <c r="D27" s="166"/>
      <c r="E27" s="73">
        <v>22</v>
      </c>
      <c r="F27" s="76" t="s">
        <v>276</v>
      </c>
      <c r="G27" s="74" t="s">
        <v>246</v>
      </c>
      <c r="H27" s="74" t="s">
        <v>277</v>
      </c>
      <c r="I27" s="78" t="s">
        <v>278</v>
      </c>
      <c r="J27" s="74"/>
    </row>
  </sheetData>
  <mergeCells count="3">
    <mergeCell ref="D6:D17"/>
    <mergeCell ref="D18:D24"/>
    <mergeCell ref="D25:D27"/>
  </mergeCells>
  <phoneticPr fontId="14"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60"/>
  <sheetViews>
    <sheetView zoomScale="85" zoomScaleNormal="85" workbookViewId="0">
      <selection activeCell="X10" sqref="X10:AG10"/>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2" width="4.75" customWidth="1"/>
    <col min="33" max="33" width="6" bestFit="1" customWidth="1"/>
    <col min="34" max="34" width="49" customWidth="1"/>
  </cols>
  <sheetData>
    <row r="1" spans="6:3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148</v>
      </c>
    </row>
    <row r="2" spans="6:34">
      <c r="F2" s="4" t="s">
        <v>39</v>
      </c>
      <c r="G2" s="5" t="s">
        <v>9</v>
      </c>
      <c r="H2" s="18"/>
      <c r="I2" s="4" t="s">
        <v>6</v>
      </c>
      <c r="J2" s="203" t="s">
        <v>7</v>
      </c>
      <c r="K2" s="203"/>
      <c r="L2" s="203"/>
      <c r="M2" s="203"/>
      <c r="N2" s="203"/>
      <c r="O2" s="203"/>
      <c r="P2" s="203"/>
      <c r="Q2" s="203"/>
      <c r="R2" s="203"/>
      <c r="S2" s="203"/>
      <c r="T2" s="203"/>
      <c r="U2" s="203"/>
      <c r="V2" s="203"/>
      <c r="W2" s="203"/>
      <c r="X2" s="203"/>
      <c r="Y2" s="203"/>
      <c r="Z2" s="203"/>
      <c r="AA2" s="203"/>
      <c r="AB2" s="203"/>
      <c r="AC2" s="203"/>
      <c r="AD2" s="203"/>
      <c r="AE2" s="203"/>
      <c r="AF2" s="203"/>
      <c r="AG2" s="203"/>
    </row>
    <row r="3" spans="6:34" ht="47.25">
      <c r="F3" s="6" t="s">
        <v>10</v>
      </c>
      <c r="G3" s="7" t="s">
        <v>28</v>
      </c>
      <c r="H3" s="20">
        <v>0</v>
      </c>
      <c r="I3" s="8" t="str">
        <f t="shared" ref="I3:I11" si="0">"0x" &amp; DEC2HEX(H3,2)</f>
        <v>0x00</v>
      </c>
      <c r="J3" s="121" t="s">
        <v>23</v>
      </c>
      <c r="K3" s="121"/>
      <c r="L3" s="121"/>
      <c r="M3" s="121"/>
      <c r="N3" s="121"/>
      <c r="O3" s="121"/>
      <c r="P3" s="121"/>
      <c r="Q3" s="121"/>
      <c r="R3" s="15" t="s">
        <v>40</v>
      </c>
      <c r="S3" s="121" t="s">
        <v>49</v>
      </c>
      <c r="T3" s="121"/>
      <c r="U3" s="15" t="s">
        <v>36</v>
      </c>
      <c r="V3" s="9">
        <v>0</v>
      </c>
      <c r="W3" s="15" t="s">
        <v>52</v>
      </c>
      <c r="X3" s="15" t="s">
        <v>20</v>
      </c>
      <c r="Y3" s="15" t="s">
        <v>19</v>
      </c>
      <c r="Z3" s="15" t="s">
        <v>18</v>
      </c>
      <c r="AA3" s="15" t="s">
        <v>17</v>
      </c>
      <c r="AB3" s="15" t="s">
        <v>16</v>
      </c>
      <c r="AC3" s="15" t="s">
        <v>15</v>
      </c>
      <c r="AD3" s="15" t="s">
        <v>14</v>
      </c>
      <c r="AE3" s="15" t="s">
        <v>13</v>
      </c>
      <c r="AF3" s="15" t="s">
        <v>12</v>
      </c>
      <c r="AG3" s="15" t="s">
        <v>11</v>
      </c>
      <c r="AH3" t="s">
        <v>151</v>
      </c>
    </row>
    <row r="4" spans="6:34">
      <c r="F4" s="6" t="s">
        <v>37</v>
      </c>
      <c r="G4" s="7" t="s">
        <v>28</v>
      </c>
      <c r="H4" s="20">
        <v>1</v>
      </c>
      <c r="I4" s="8" t="str">
        <f t="shared" si="0"/>
        <v>0x01</v>
      </c>
      <c r="J4" s="121" t="s">
        <v>24</v>
      </c>
      <c r="K4" s="121"/>
      <c r="L4" s="121"/>
      <c r="M4" s="121"/>
      <c r="N4" s="121"/>
      <c r="O4" s="121"/>
      <c r="P4" s="121"/>
      <c r="Q4" s="121"/>
      <c r="R4" s="9"/>
      <c r="S4" s="121" t="s">
        <v>27</v>
      </c>
      <c r="T4" s="121"/>
      <c r="U4" s="121"/>
      <c r="V4" s="121"/>
      <c r="W4" s="121"/>
      <c r="X4" s="121" t="s">
        <v>26</v>
      </c>
      <c r="Y4" s="121"/>
      <c r="Z4" s="121"/>
      <c r="AA4" s="121"/>
      <c r="AB4" s="121" t="s">
        <v>25</v>
      </c>
      <c r="AC4" s="121"/>
      <c r="AD4" s="121"/>
      <c r="AE4" s="121"/>
      <c r="AF4" s="121"/>
      <c r="AG4" s="121"/>
    </row>
    <row r="5" spans="6:34">
      <c r="F5" s="6" t="s">
        <v>38</v>
      </c>
      <c r="G5" s="7" t="s">
        <v>28</v>
      </c>
      <c r="H5" s="20">
        <v>2</v>
      </c>
      <c r="I5" s="8" t="str">
        <f t="shared" si="0"/>
        <v>0x02</v>
      </c>
      <c r="J5" s="9">
        <v>0</v>
      </c>
      <c r="K5" s="9">
        <v>0</v>
      </c>
      <c r="L5" s="9">
        <v>0</v>
      </c>
      <c r="M5" s="9">
        <v>0</v>
      </c>
      <c r="N5" s="118" t="s">
        <v>337</v>
      </c>
      <c r="O5" s="207"/>
      <c r="P5" s="207"/>
      <c r="Q5" s="207"/>
      <c r="R5" s="207"/>
      <c r="S5" s="207"/>
      <c r="T5" s="207"/>
      <c r="U5" s="207"/>
      <c r="V5" s="207"/>
      <c r="W5" s="207"/>
      <c r="X5" s="207"/>
      <c r="Y5" s="207"/>
      <c r="Z5" s="207"/>
      <c r="AA5" s="207"/>
      <c r="AB5" s="207"/>
      <c r="AC5" s="207"/>
      <c r="AD5" s="207"/>
      <c r="AE5" s="207"/>
      <c r="AF5" s="207"/>
      <c r="AG5" s="208"/>
    </row>
    <row r="6" spans="6:34">
      <c r="F6" s="6" t="s">
        <v>29</v>
      </c>
      <c r="G6" s="7" t="s">
        <v>9</v>
      </c>
      <c r="H6" s="20">
        <v>3</v>
      </c>
      <c r="I6" s="8" t="str">
        <f t="shared" si="0"/>
        <v>0x03</v>
      </c>
      <c r="J6" s="121" t="s">
        <v>30</v>
      </c>
      <c r="K6" s="121"/>
      <c r="L6" s="121"/>
      <c r="M6" s="121"/>
      <c r="N6" s="121"/>
      <c r="O6" s="121"/>
      <c r="P6" s="121"/>
      <c r="Q6" s="121"/>
      <c r="R6" s="121"/>
      <c r="S6" s="121"/>
      <c r="T6" s="121"/>
      <c r="U6" s="121"/>
      <c r="V6" s="121"/>
      <c r="W6" s="121"/>
      <c r="X6" s="121"/>
      <c r="Y6" s="121"/>
      <c r="Z6" s="121"/>
      <c r="AA6" s="121"/>
      <c r="AB6" s="121"/>
      <c r="AC6" s="121"/>
      <c r="AD6" s="121"/>
      <c r="AE6" s="121"/>
      <c r="AF6" s="121"/>
      <c r="AG6" s="121"/>
    </row>
    <row r="7" spans="6:34">
      <c r="F7" s="9" t="s">
        <v>80</v>
      </c>
      <c r="G7" s="52" t="s">
        <v>9</v>
      </c>
      <c r="H7" s="53">
        <v>4</v>
      </c>
      <c r="I7" s="54"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c r="F8" s="9" t="s">
        <v>80</v>
      </c>
      <c r="G8" s="52" t="s">
        <v>9</v>
      </c>
      <c r="H8" s="53">
        <v>5</v>
      </c>
      <c r="I8" s="54"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c r="F9" s="6" t="s">
        <v>22</v>
      </c>
      <c r="G9" s="7" t="s">
        <v>9</v>
      </c>
      <c r="H9" s="20">
        <v>6</v>
      </c>
      <c r="I9" s="8" t="str">
        <f t="shared" si="0"/>
        <v>0x06</v>
      </c>
      <c r="J9" s="9">
        <v>0</v>
      </c>
      <c r="K9" s="9">
        <v>0</v>
      </c>
      <c r="L9" s="9">
        <v>0</v>
      </c>
      <c r="M9" s="9">
        <v>0</v>
      </c>
      <c r="N9" s="197" t="s">
        <v>143</v>
      </c>
      <c r="O9" s="198"/>
      <c r="P9" s="198"/>
      <c r="Q9" s="198"/>
      <c r="R9" s="198"/>
      <c r="S9" s="198"/>
      <c r="T9" s="198"/>
      <c r="U9" s="198"/>
      <c r="V9" s="198"/>
      <c r="W9" s="198"/>
      <c r="X9" s="198"/>
      <c r="Y9" s="199"/>
      <c r="Z9" s="197" t="s">
        <v>142</v>
      </c>
      <c r="AA9" s="198"/>
      <c r="AB9" s="198"/>
      <c r="AC9" s="198"/>
      <c r="AD9" s="198"/>
      <c r="AE9" s="199"/>
      <c r="AF9" s="118" t="s">
        <v>5</v>
      </c>
      <c r="AG9" s="120"/>
      <c r="AH9" t="s">
        <v>149</v>
      </c>
    </row>
    <row r="10" spans="6:34" ht="47.25" customHeight="1" thickBot="1">
      <c r="F10" s="21" t="s">
        <v>21</v>
      </c>
      <c r="G10" s="22" t="s">
        <v>9</v>
      </c>
      <c r="H10" s="23">
        <v>7</v>
      </c>
      <c r="I10" s="24" t="str">
        <f t="shared" si="0"/>
        <v>0x07</v>
      </c>
      <c r="J10" s="55">
        <v>0</v>
      </c>
      <c r="K10" s="55">
        <v>0</v>
      </c>
      <c r="L10" s="55">
        <v>0</v>
      </c>
      <c r="M10" s="55">
        <v>0</v>
      </c>
      <c r="N10" s="55">
        <v>0</v>
      </c>
      <c r="O10" s="55">
        <v>0</v>
      </c>
      <c r="P10" s="15" t="s">
        <v>137</v>
      </c>
      <c r="Q10" s="15" t="s">
        <v>131</v>
      </c>
      <c r="R10" s="200" t="s">
        <v>187</v>
      </c>
      <c r="S10" s="201"/>
      <c r="T10" s="201"/>
      <c r="U10" s="201"/>
      <c r="V10" s="201"/>
      <c r="W10" s="202"/>
      <c r="X10" s="200" t="s">
        <v>186</v>
      </c>
      <c r="Y10" s="201"/>
      <c r="Z10" s="201"/>
      <c r="AA10" s="201"/>
      <c r="AB10" s="201"/>
      <c r="AC10" s="201"/>
      <c r="AD10" s="201"/>
      <c r="AE10" s="201"/>
      <c r="AF10" s="201"/>
      <c r="AG10" s="202"/>
      <c r="AH10" t="s">
        <v>150</v>
      </c>
    </row>
    <row r="11" spans="6:34">
      <c r="F11" s="25" t="s">
        <v>42</v>
      </c>
      <c r="G11" s="26" t="s">
        <v>9</v>
      </c>
      <c r="H11" s="27">
        <v>8</v>
      </c>
      <c r="I11" s="28" t="str">
        <f t="shared" si="0"/>
        <v>0x08</v>
      </c>
      <c r="J11" s="168" t="s">
        <v>123</v>
      </c>
      <c r="K11" s="169"/>
      <c r="L11" s="169"/>
      <c r="M11" s="169"/>
      <c r="N11" s="169"/>
      <c r="O11" s="169"/>
      <c r="P11" s="170"/>
      <c r="Q11" s="170"/>
      <c r="R11" s="170"/>
      <c r="S11" s="170"/>
      <c r="T11" s="170"/>
      <c r="U11" s="170"/>
      <c r="V11" s="170"/>
      <c r="W11" s="170"/>
      <c r="X11" s="170"/>
      <c r="Y11" s="170"/>
      <c r="Z11" s="170"/>
      <c r="AA11" s="170"/>
      <c r="AB11" s="170"/>
      <c r="AC11" s="170"/>
      <c r="AD11" s="170"/>
      <c r="AE11" s="170"/>
      <c r="AF11" s="170"/>
      <c r="AG11" s="171"/>
      <c r="AH11" t="s">
        <v>153</v>
      </c>
    </row>
    <row r="12" spans="6:34" ht="15">
      <c r="F12" s="178" t="s">
        <v>43</v>
      </c>
      <c r="G12" s="179"/>
      <c r="H12" s="179"/>
      <c r="I12" s="180"/>
      <c r="J12" s="172"/>
      <c r="K12" s="173"/>
      <c r="L12" s="173"/>
      <c r="M12" s="173"/>
      <c r="N12" s="173"/>
      <c r="O12" s="173"/>
      <c r="P12" s="173"/>
      <c r="Q12" s="173"/>
      <c r="R12" s="173"/>
      <c r="S12" s="173"/>
      <c r="T12" s="173"/>
      <c r="U12" s="173"/>
      <c r="V12" s="173"/>
      <c r="W12" s="173"/>
      <c r="X12" s="173"/>
      <c r="Y12" s="173"/>
      <c r="Z12" s="173"/>
      <c r="AA12" s="173"/>
      <c r="AB12" s="173"/>
      <c r="AC12" s="173"/>
      <c r="AD12" s="173"/>
      <c r="AE12" s="173"/>
      <c r="AF12" s="173"/>
      <c r="AG12" s="174"/>
    </row>
    <row r="13" spans="6:34" ht="15" thickBot="1">
      <c r="F13" s="29" t="s">
        <v>115</v>
      </c>
      <c r="G13" s="30" t="s">
        <v>9</v>
      </c>
      <c r="H13" s="31">
        <v>11</v>
      </c>
      <c r="I13" s="32" t="str">
        <f>"0x" &amp; DEC2HEX(H13,2)</f>
        <v>0x0B</v>
      </c>
      <c r="J13" s="175"/>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7"/>
    </row>
    <row r="14" spans="6:34">
      <c r="F14" s="33" t="s">
        <v>44</v>
      </c>
      <c r="G14" s="34" t="s">
        <v>9</v>
      </c>
      <c r="H14" s="35">
        <v>12</v>
      </c>
      <c r="I14" s="36" t="str">
        <f>"0x" &amp; DEC2HEX(H14,2)</f>
        <v>0x0C</v>
      </c>
      <c r="J14" s="181" t="s">
        <v>124</v>
      </c>
      <c r="K14" s="182"/>
      <c r="L14" s="182"/>
      <c r="M14" s="182"/>
      <c r="N14" s="182"/>
      <c r="O14" s="182"/>
      <c r="P14" s="183"/>
      <c r="Q14" s="183"/>
      <c r="R14" s="183"/>
      <c r="S14" s="183"/>
      <c r="T14" s="183"/>
      <c r="U14" s="183"/>
      <c r="V14" s="183"/>
      <c r="W14" s="183"/>
      <c r="X14" s="183"/>
      <c r="Y14" s="183"/>
      <c r="Z14" s="183"/>
      <c r="AA14" s="183"/>
      <c r="AB14" s="183"/>
      <c r="AC14" s="183"/>
      <c r="AD14" s="183"/>
      <c r="AE14" s="183"/>
      <c r="AF14" s="183"/>
      <c r="AG14" s="184"/>
    </row>
    <row r="15" spans="6:34" ht="15">
      <c r="F15" s="191" t="s">
        <v>43</v>
      </c>
      <c r="G15" s="192"/>
      <c r="H15" s="192"/>
      <c r="I15" s="193"/>
      <c r="J15" s="185"/>
      <c r="K15" s="186"/>
      <c r="L15" s="186"/>
      <c r="M15" s="186"/>
      <c r="N15" s="186"/>
      <c r="O15" s="186"/>
      <c r="P15" s="186"/>
      <c r="Q15" s="186"/>
      <c r="R15" s="186"/>
      <c r="S15" s="186"/>
      <c r="T15" s="186"/>
      <c r="U15" s="186"/>
      <c r="V15" s="186"/>
      <c r="W15" s="186"/>
      <c r="X15" s="186"/>
      <c r="Y15" s="186"/>
      <c r="Z15" s="186"/>
      <c r="AA15" s="186"/>
      <c r="AB15" s="186"/>
      <c r="AC15" s="186"/>
      <c r="AD15" s="186"/>
      <c r="AE15" s="186"/>
      <c r="AF15" s="186"/>
      <c r="AG15" s="187"/>
    </row>
    <row r="16" spans="6:34" ht="15" thickBot="1">
      <c r="F16" s="37" t="s">
        <v>116</v>
      </c>
      <c r="G16" s="38" t="s">
        <v>9</v>
      </c>
      <c r="H16" s="39">
        <v>15</v>
      </c>
      <c r="I16" s="40" t="str">
        <f>"0x" &amp; DEC2HEX(H16,2)</f>
        <v>0x0F</v>
      </c>
      <c r="J16" s="188"/>
      <c r="K16" s="189"/>
      <c r="L16" s="189"/>
      <c r="M16" s="189"/>
      <c r="N16" s="189"/>
      <c r="O16" s="189"/>
      <c r="P16" s="189"/>
      <c r="Q16" s="189"/>
      <c r="R16" s="189"/>
      <c r="S16" s="189"/>
      <c r="T16" s="189"/>
      <c r="U16" s="189"/>
      <c r="V16" s="189"/>
      <c r="W16" s="189"/>
      <c r="X16" s="189"/>
      <c r="Y16" s="189"/>
      <c r="Z16" s="189"/>
      <c r="AA16" s="189"/>
      <c r="AB16" s="189"/>
      <c r="AC16" s="189"/>
      <c r="AD16" s="189"/>
      <c r="AE16" s="189"/>
      <c r="AF16" s="189"/>
      <c r="AG16" s="190"/>
    </row>
    <row r="17" spans="6:33">
      <c r="F17" s="25" t="s">
        <v>45</v>
      </c>
      <c r="G17" s="26" t="s">
        <v>9</v>
      </c>
      <c r="H17" s="27">
        <v>16</v>
      </c>
      <c r="I17" s="28" t="str">
        <f>"0x" &amp; DEC2HEX(H17,2)</f>
        <v>0x10</v>
      </c>
      <c r="J17" s="168" t="s">
        <v>125</v>
      </c>
      <c r="K17" s="169"/>
      <c r="L17" s="169"/>
      <c r="M17" s="169"/>
      <c r="N17" s="169"/>
      <c r="O17" s="169"/>
      <c r="P17" s="170"/>
      <c r="Q17" s="170"/>
      <c r="R17" s="170"/>
      <c r="S17" s="170"/>
      <c r="T17" s="170"/>
      <c r="U17" s="170"/>
      <c r="V17" s="170"/>
      <c r="W17" s="170"/>
      <c r="X17" s="170"/>
      <c r="Y17" s="170"/>
      <c r="Z17" s="170"/>
      <c r="AA17" s="170"/>
      <c r="AB17" s="170"/>
      <c r="AC17" s="170"/>
      <c r="AD17" s="170"/>
      <c r="AE17" s="170"/>
      <c r="AF17" s="170"/>
      <c r="AG17" s="171"/>
    </row>
    <row r="18" spans="6:33" ht="15">
      <c r="F18" s="178" t="s">
        <v>43</v>
      </c>
      <c r="G18" s="179"/>
      <c r="H18" s="179"/>
      <c r="I18" s="180"/>
      <c r="J18" s="172"/>
      <c r="K18" s="173"/>
      <c r="L18" s="173"/>
      <c r="M18" s="173"/>
      <c r="N18" s="173"/>
      <c r="O18" s="173"/>
      <c r="P18" s="173"/>
      <c r="Q18" s="173"/>
      <c r="R18" s="173"/>
      <c r="S18" s="173"/>
      <c r="T18" s="173"/>
      <c r="U18" s="173"/>
      <c r="V18" s="173"/>
      <c r="W18" s="173"/>
      <c r="X18" s="173"/>
      <c r="Y18" s="173"/>
      <c r="Z18" s="173"/>
      <c r="AA18" s="173"/>
      <c r="AB18" s="173"/>
      <c r="AC18" s="173"/>
      <c r="AD18" s="173"/>
      <c r="AE18" s="173"/>
      <c r="AF18" s="173"/>
      <c r="AG18" s="174"/>
    </row>
    <row r="19" spans="6:33" ht="15" thickBot="1">
      <c r="F19" s="29" t="s">
        <v>117</v>
      </c>
      <c r="G19" s="30" t="s">
        <v>9</v>
      </c>
      <c r="H19" s="31">
        <v>19</v>
      </c>
      <c r="I19" s="32" t="str">
        <f>"0x" &amp; DEC2HEX(H19,2)</f>
        <v>0x13</v>
      </c>
      <c r="J19" s="175"/>
      <c r="K19" s="176"/>
      <c r="L19" s="176"/>
      <c r="M19" s="176"/>
      <c r="N19" s="176"/>
      <c r="O19" s="176"/>
      <c r="P19" s="176"/>
      <c r="Q19" s="176"/>
      <c r="R19" s="176"/>
      <c r="S19" s="176"/>
      <c r="T19" s="176"/>
      <c r="U19" s="176"/>
      <c r="V19" s="176"/>
      <c r="W19" s="176"/>
      <c r="X19" s="176"/>
      <c r="Y19" s="176"/>
      <c r="Z19" s="176"/>
      <c r="AA19" s="176"/>
      <c r="AB19" s="176"/>
      <c r="AC19" s="176"/>
      <c r="AD19" s="176"/>
      <c r="AE19" s="176"/>
      <c r="AF19" s="176"/>
      <c r="AG19" s="177"/>
    </row>
    <row r="20" spans="6:33">
      <c r="F20" s="33" t="s">
        <v>46</v>
      </c>
      <c r="G20" s="34" t="s">
        <v>9</v>
      </c>
      <c r="H20" s="35">
        <v>20</v>
      </c>
      <c r="I20" s="36" t="str">
        <f>"0x" &amp; DEC2HEX(H20,2)</f>
        <v>0x14</v>
      </c>
      <c r="J20" s="181" t="s">
        <v>126</v>
      </c>
      <c r="K20" s="182"/>
      <c r="L20" s="182"/>
      <c r="M20" s="182"/>
      <c r="N20" s="182"/>
      <c r="O20" s="182"/>
      <c r="P20" s="183"/>
      <c r="Q20" s="183"/>
      <c r="R20" s="183"/>
      <c r="S20" s="183"/>
      <c r="T20" s="183"/>
      <c r="U20" s="183"/>
      <c r="V20" s="183"/>
      <c r="W20" s="183"/>
      <c r="X20" s="183"/>
      <c r="Y20" s="183"/>
      <c r="Z20" s="183"/>
      <c r="AA20" s="183"/>
      <c r="AB20" s="183"/>
      <c r="AC20" s="183"/>
      <c r="AD20" s="183"/>
      <c r="AE20" s="183"/>
      <c r="AF20" s="183"/>
      <c r="AG20" s="184"/>
    </row>
    <row r="21" spans="6:33" ht="15">
      <c r="F21" s="191" t="s">
        <v>43</v>
      </c>
      <c r="G21" s="192"/>
      <c r="H21" s="192"/>
      <c r="I21" s="193"/>
      <c r="J21" s="185"/>
      <c r="K21" s="186"/>
      <c r="L21" s="186"/>
      <c r="M21" s="186"/>
      <c r="N21" s="186"/>
      <c r="O21" s="186"/>
      <c r="P21" s="186"/>
      <c r="Q21" s="186"/>
      <c r="R21" s="186"/>
      <c r="S21" s="186"/>
      <c r="T21" s="186"/>
      <c r="U21" s="186"/>
      <c r="V21" s="186"/>
      <c r="W21" s="186"/>
      <c r="X21" s="186"/>
      <c r="Y21" s="186"/>
      <c r="Z21" s="186"/>
      <c r="AA21" s="186"/>
      <c r="AB21" s="186"/>
      <c r="AC21" s="186"/>
      <c r="AD21" s="186"/>
      <c r="AE21" s="186"/>
      <c r="AF21" s="186"/>
      <c r="AG21" s="187"/>
    </row>
    <row r="22" spans="6:33" ht="15" thickBot="1">
      <c r="F22" s="37" t="s">
        <v>118</v>
      </c>
      <c r="G22" s="38" t="s">
        <v>9</v>
      </c>
      <c r="H22" s="39">
        <v>23</v>
      </c>
      <c r="I22" s="40" t="str">
        <f>"0x" &amp; DEC2HEX(H22,2)</f>
        <v>0x17</v>
      </c>
      <c r="J22" s="188"/>
      <c r="K22" s="189"/>
      <c r="L22" s="189"/>
      <c r="M22" s="189"/>
      <c r="N22" s="189"/>
      <c r="O22" s="189"/>
      <c r="P22" s="189"/>
      <c r="Q22" s="189"/>
      <c r="R22" s="189"/>
      <c r="S22" s="189"/>
      <c r="T22" s="189"/>
      <c r="U22" s="189"/>
      <c r="V22" s="189"/>
      <c r="W22" s="189"/>
      <c r="X22" s="189"/>
      <c r="Y22" s="189"/>
      <c r="Z22" s="189"/>
      <c r="AA22" s="189"/>
      <c r="AB22" s="189"/>
      <c r="AC22" s="189"/>
      <c r="AD22" s="189"/>
      <c r="AE22" s="189"/>
      <c r="AF22" s="189"/>
      <c r="AG22" s="190"/>
    </row>
    <row r="23" spans="6:33">
      <c r="F23" s="25" t="s">
        <v>47</v>
      </c>
      <c r="G23" s="26" t="s">
        <v>9</v>
      </c>
      <c r="H23" s="27">
        <v>24</v>
      </c>
      <c r="I23" s="28" t="str">
        <f>"0x" &amp; DEC2HEX(H23,2)</f>
        <v>0x18</v>
      </c>
      <c r="J23" s="168" t="s">
        <v>127</v>
      </c>
      <c r="K23" s="169"/>
      <c r="L23" s="169"/>
      <c r="M23" s="169"/>
      <c r="N23" s="169"/>
      <c r="O23" s="169"/>
      <c r="P23" s="170"/>
      <c r="Q23" s="170"/>
      <c r="R23" s="170"/>
      <c r="S23" s="170"/>
      <c r="T23" s="170"/>
      <c r="U23" s="170"/>
      <c r="V23" s="170"/>
      <c r="W23" s="170"/>
      <c r="X23" s="170"/>
      <c r="Y23" s="170"/>
      <c r="Z23" s="170"/>
      <c r="AA23" s="170"/>
      <c r="AB23" s="170"/>
      <c r="AC23" s="170"/>
      <c r="AD23" s="170"/>
      <c r="AE23" s="170"/>
      <c r="AF23" s="170"/>
      <c r="AG23" s="171"/>
    </row>
    <row r="24" spans="6:33" ht="15">
      <c r="F24" s="178" t="s">
        <v>43</v>
      </c>
      <c r="G24" s="179"/>
      <c r="H24" s="179"/>
      <c r="I24" s="180"/>
      <c r="J24" s="172"/>
      <c r="K24" s="173"/>
      <c r="L24" s="173"/>
      <c r="M24" s="173"/>
      <c r="N24" s="173"/>
      <c r="O24" s="173"/>
      <c r="P24" s="173"/>
      <c r="Q24" s="173"/>
      <c r="R24" s="173"/>
      <c r="S24" s="173"/>
      <c r="T24" s="173"/>
      <c r="U24" s="173"/>
      <c r="V24" s="173"/>
      <c r="W24" s="173"/>
      <c r="X24" s="173"/>
      <c r="Y24" s="173"/>
      <c r="Z24" s="173"/>
      <c r="AA24" s="173"/>
      <c r="AB24" s="173"/>
      <c r="AC24" s="173"/>
      <c r="AD24" s="173"/>
      <c r="AE24" s="173"/>
      <c r="AF24" s="173"/>
      <c r="AG24" s="174"/>
    </row>
    <row r="25" spans="6:33" ht="15" thickBot="1">
      <c r="F25" s="29" t="s">
        <v>119</v>
      </c>
      <c r="G25" s="30" t="s">
        <v>9</v>
      </c>
      <c r="H25" s="31">
        <v>27</v>
      </c>
      <c r="I25" s="32" t="str">
        <f>"0x" &amp; DEC2HEX(H25,2)</f>
        <v>0x1B</v>
      </c>
      <c r="J25" s="175"/>
      <c r="K25" s="176"/>
      <c r="L25" s="176"/>
      <c r="M25" s="176"/>
      <c r="N25" s="176"/>
      <c r="O25" s="176"/>
      <c r="P25" s="176"/>
      <c r="Q25" s="176"/>
      <c r="R25" s="176"/>
      <c r="S25" s="176"/>
      <c r="T25" s="176"/>
      <c r="U25" s="176"/>
      <c r="V25" s="176"/>
      <c r="W25" s="176"/>
      <c r="X25" s="176"/>
      <c r="Y25" s="176"/>
      <c r="Z25" s="176"/>
      <c r="AA25" s="176"/>
      <c r="AB25" s="176"/>
      <c r="AC25" s="176"/>
      <c r="AD25" s="176"/>
      <c r="AE25" s="176"/>
      <c r="AF25" s="176"/>
      <c r="AG25" s="177"/>
    </row>
    <row r="26" spans="6:33">
      <c r="F26" s="33" t="s">
        <v>48</v>
      </c>
      <c r="G26" s="34" t="s">
        <v>9</v>
      </c>
      <c r="H26" s="35">
        <v>28</v>
      </c>
      <c r="I26" s="36" t="str">
        <f>"0x" &amp; DEC2HEX(H26,2)</f>
        <v>0x1C</v>
      </c>
      <c r="J26" s="181" t="s">
        <v>128</v>
      </c>
      <c r="K26" s="182"/>
      <c r="L26" s="182"/>
      <c r="M26" s="182"/>
      <c r="N26" s="182"/>
      <c r="O26" s="182"/>
      <c r="P26" s="183"/>
      <c r="Q26" s="183"/>
      <c r="R26" s="183"/>
      <c r="S26" s="183"/>
      <c r="T26" s="183"/>
      <c r="U26" s="183"/>
      <c r="V26" s="183"/>
      <c r="W26" s="183"/>
      <c r="X26" s="183"/>
      <c r="Y26" s="183"/>
      <c r="Z26" s="183"/>
      <c r="AA26" s="183"/>
      <c r="AB26" s="183"/>
      <c r="AC26" s="183"/>
      <c r="AD26" s="183"/>
      <c r="AE26" s="183"/>
      <c r="AF26" s="183"/>
      <c r="AG26" s="184"/>
    </row>
    <row r="27" spans="6:33" ht="15">
      <c r="F27" s="191" t="s">
        <v>43</v>
      </c>
      <c r="G27" s="192"/>
      <c r="H27" s="192"/>
      <c r="I27" s="193"/>
      <c r="J27" s="185"/>
      <c r="K27" s="186"/>
      <c r="L27" s="186"/>
      <c r="M27" s="186"/>
      <c r="N27" s="186"/>
      <c r="O27" s="186"/>
      <c r="P27" s="186"/>
      <c r="Q27" s="186"/>
      <c r="R27" s="186"/>
      <c r="S27" s="186"/>
      <c r="T27" s="186"/>
      <c r="U27" s="186"/>
      <c r="V27" s="186"/>
      <c r="W27" s="186"/>
      <c r="X27" s="186"/>
      <c r="Y27" s="186"/>
      <c r="Z27" s="186"/>
      <c r="AA27" s="186"/>
      <c r="AB27" s="186"/>
      <c r="AC27" s="186"/>
      <c r="AD27" s="186"/>
      <c r="AE27" s="186"/>
      <c r="AF27" s="186"/>
      <c r="AG27" s="187"/>
    </row>
    <row r="28" spans="6:33" ht="15" thickBot="1">
      <c r="F28" s="37" t="s">
        <v>120</v>
      </c>
      <c r="G28" s="38" t="s">
        <v>9</v>
      </c>
      <c r="H28" s="39">
        <v>31</v>
      </c>
      <c r="I28" s="40" t="str">
        <f>"0x" &amp; DEC2HEX(H28,2)</f>
        <v>0x1F</v>
      </c>
      <c r="J28" s="188"/>
      <c r="K28" s="189"/>
      <c r="L28" s="189"/>
      <c r="M28" s="189"/>
      <c r="N28" s="189"/>
      <c r="O28" s="189"/>
      <c r="P28" s="189"/>
      <c r="Q28" s="189"/>
      <c r="R28" s="189"/>
      <c r="S28" s="189"/>
      <c r="T28" s="189"/>
      <c r="U28" s="189"/>
      <c r="V28" s="189"/>
      <c r="W28" s="189"/>
      <c r="X28" s="189"/>
      <c r="Y28" s="189"/>
      <c r="Z28" s="189"/>
      <c r="AA28" s="189"/>
      <c r="AB28" s="189"/>
      <c r="AC28" s="189"/>
      <c r="AD28" s="189"/>
      <c r="AE28" s="189"/>
      <c r="AF28" s="189"/>
      <c r="AG28" s="190"/>
    </row>
    <row r="29" spans="6:33">
      <c r="F29" s="25" t="s">
        <v>50</v>
      </c>
      <c r="G29" s="26" t="s">
        <v>9</v>
      </c>
      <c r="H29" s="27">
        <v>32</v>
      </c>
      <c r="I29" s="28" t="str">
        <f>"0x" &amp; DEC2HEX(H29,2)</f>
        <v>0x20</v>
      </c>
      <c r="J29" s="168" t="s">
        <v>129</v>
      </c>
      <c r="K29" s="169"/>
      <c r="L29" s="169"/>
      <c r="M29" s="169"/>
      <c r="N29" s="169"/>
      <c r="O29" s="169"/>
      <c r="P29" s="170"/>
      <c r="Q29" s="170"/>
      <c r="R29" s="170"/>
      <c r="S29" s="170"/>
      <c r="T29" s="170"/>
      <c r="U29" s="170"/>
      <c r="V29" s="170"/>
      <c r="W29" s="170"/>
      <c r="X29" s="170"/>
      <c r="Y29" s="170"/>
      <c r="Z29" s="170"/>
      <c r="AA29" s="170"/>
      <c r="AB29" s="170"/>
      <c r="AC29" s="170"/>
      <c r="AD29" s="170"/>
      <c r="AE29" s="170"/>
      <c r="AF29" s="170"/>
      <c r="AG29" s="171"/>
    </row>
    <row r="30" spans="6:33" ht="15">
      <c r="F30" s="178" t="s">
        <v>43</v>
      </c>
      <c r="G30" s="179"/>
      <c r="H30" s="179"/>
      <c r="I30" s="180"/>
      <c r="J30" s="172"/>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4"/>
    </row>
    <row r="31" spans="6:33" ht="15" thickBot="1">
      <c r="F31" s="29" t="s">
        <v>121</v>
      </c>
      <c r="G31" s="30" t="s">
        <v>9</v>
      </c>
      <c r="H31" s="31">
        <v>35</v>
      </c>
      <c r="I31" s="32" t="str">
        <f>"0x" &amp; DEC2HEX(H31,2)</f>
        <v>0x23</v>
      </c>
      <c r="J31" s="175"/>
      <c r="K31" s="176"/>
      <c r="L31" s="176"/>
      <c r="M31" s="176"/>
      <c r="N31" s="176"/>
      <c r="O31" s="176"/>
      <c r="P31" s="176"/>
      <c r="Q31" s="176"/>
      <c r="R31" s="176"/>
      <c r="S31" s="176"/>
      <c r="T31" s="176"/>
      <c r="U31" s="176"/>
      <c r="V31" s="176"/>
      <c r="W31" s="176"/>
      <c r="X31" s="176"/>
      <c r="Y31" s="176"/>
      <c r="Z31" s="176"/>
      <c r="AA31" s="176"/>
      <c r="AB31" s="176"/>
      <c r="AC31" s="176"/>
      <c r="AD31" s="176"/>
      <c r="AE31" s="176"/>
      <c r="AF31" s="176"/>
      <c r="AG31" s="177"/>
    </row>
    <row r="32" spans="6:33">
      <c r="F32" s="33" t="s">
        <v>51</v>
      </c>
      <c r="G32" s="34" t="s">
        <v>9</v>
      </c>
      <c r="H32" s="35">
        <v>36</v>
      </c>
      <c r="I32" s="36" t="str">
        <f>"0x" &amp; DEC2HEX(H32,2)</f>
        <v>0x24</v>
      </c>
      <c r="J32" s="181" t="s">
        <v>130</v>
      </c>
      <c r="K32" s="182"/>
      <c r="L32" s="182"/>
      <c r="M32" s="182"/>
      <c r="N32" s="182"/>
      <c r="O32" s="182"/>
      <c r="P32" s="183"/>
      <c r="Q32" s="183"/>
      <c r="R32" s="183"/>
      <c r="S32" s="183"/>
      <c r="T32" s="183"/>
      <c r="U32" s="183"/>
      <c r="V32" s="183"/>
      <c r="W32" s="183"/>
      <c r="X32" s="183"/>
      <c r="Y32" s="183"/>
      <c r="Z32" s="183"/>
      <c r="AA32" s="183"/>
      <c r="AB32" s="183"/>
      <c r="AC32" s="183"/>
      <c r="AD32" s="183"/>
      <c r="AE32" s="183"/>
      <c r="AF32" s="183"/>
      <c r="AG32" s="184"/>
    </row>
    <row r="33" spans="5:34" ht="15">
      <c r="F33" s="191" t="s">
        <v>43</v>
      </c>
      <c r="G33" s="192"/>
      <c r="H33" s="192"/>
      <c r="I33" s="193"/>
      <c r="J33" s="185"/>
      <c r="K33" s="186"/>
      <c r="L33" s="186"/>
      <c r="M33" s="186"/>
      <c r="N33" s="186"/>
      <c r="O33" s="186"/>
      <c r="P33" s="186"/>
      <c r="Q33" s="186"/>
      <c r="R33" s="186"/>
      <c r="S33" s="186"/>
      <c r="T33" s="186"/>
      <c r="U33" s="186"/>
      <c r="V33" s="186"/>
      <c r="W33" s="186"/>
      <c r="X33" s="186"/>
      <c r="Y33" s="186"/>
      <c r="Z33" s="186"/>
      <c r="AA33" s="186"/>
      <c r="AB33" s="186"/>
      <c r="AC33" s="186"/>
      <c r="AD33" s="186"/>
      <c r="AE33" s="186"/>
      <c r="AF33" s="186"/>
      <c r="AG33" s="187"/>
    </row>
    <row r="34" spans="5:34" ht="15" thickBot="1">
      <c r="F34" s="37" t="s">
        <v>122</v>
      </c>
      <c r="G34" s="38" t="s">
        <v>9</v>
      </c>
      <c r="H34" s="39">
        <v>39</v>
      </c>
      <c r="I34" s="40" t="str">
        <f>"0x" &amp; DEC2HEX(H34,2)</f>
        <v>0x27</v>
      </c>
      <c r="J34" s="188"/>
      <c r="K34" s="189"/>
      <c r="L34" s="189"/>
      <c r="M34" s="189"/>
      <c r="N34" s="189"/>
      <c r="O34" s="189"/>
      <c r="P34" s="189"/>
      <c r="Q34" s="189"/>
      <c r="R34" s="189"/>
      <c r="S34" s="189"/>
      <c r="T34" s="189"/>
      <c r="U34" s="189"/>
      <c r="V34" s="189"/>
      <c r="W34" s="189"/>
      <c r="X34" s="189"/>
      <c r="Y34" s="189"/>
      <c r="Z34" s="189"/>
      <c r="AA34" s="189"/>
      <c r="AB34" s="189"/>
      <c r="AC34" s="189"/>
      <c r="AD34" s="189"/>
      <c r="AE34" s="189"/>
      <c r="AF34" s="189"/>
      <c r="AG34" s="190"/>
    </row>
    <row r="35" spans="5:34">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94" t="s">
        <v>33</v>
      </c>
      <c r="AA35" s="195"/>
      <c r="AB35" s="195"/>
      <c r="AC35" s="195"/>
      <c r="AD35" s="195"/>
      <c r="AE35" s="195"/>
      <c r="AF35" s="195"/>
      <c r="AG35" s="196"/>
      <c r="AH35" t="s">
        <v>152</v>
      </c>
    </row>
    <row r="36" spans="5:34">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152</v>
      </c>
    </row>
    <row r="37" spans="5:34" ht="15">
      <c r="E37" s="3"/>
    </row>
    <row r="38" spans="5:34" ht="15">
      <c r="E38" s="3"/>
    </row>
    <row r="39" spans="5:34" ht="15.75" thickBot="1">
      <c r="E39" s="3"/>
    </row>
    <row r="40" spans="5:34" ht="15" thickBot="1">
      <c r="F40" s="204" t="s">
        <v>387</v>
      </c>
      <c r="G40" s="205"/>
      <c r="H40" s="205"/>
      <c r="I40" s="205"/>
      <c r="J40" s="205"/>
      <c r="K40" s="205"/>
      <c r="L40" s="205"/>
      <c r="M40" s="205"/>
      <c r="N40" s="205"/>
      <c r="O40" s="205"/>
      <c r="P40" s="205"/>
      <c r="Q40" s="205"/>
      <c r="R40" s="205"/>
      <c r="S40" s="205"/>
      <c r="T40" s="205"/>
      <c r="U40" s="205"/>
      <c r="V40" s="205"/>
      <c r="W40" s="205"/>
      <c r="X40" s="205"/>
      <c r="Y40" s="205"/>
      <c r="Z40" s="205"/>
      <c r="AA40" s="205"/>
      <c r="AB40" s="205"/>
      <c r="AC40" s="205"/>
      <c r="AD40" s="205"/>
      <c r="AE40" s="205"/>
      <c r="AF40" s="205"/>
      <c r="AG40" s="206"/>
    </row>
    <row r="41" spans="5:34">
      <c r="F41" s="88"/>
      <c r="G41" s="90">
        <v>31</v>
      </c>
      <c r="H41" s="89" t="s">
        <v>41</v>
      </c>
      <c r="I41" s="95" t="s">
        <v>8</v>
      </c>
      <c r="J41" s="88">
        <v>23</v>
      </c>
      <c r="K41" s="88">
        <v>22</v>
      </c>
      <c r="L41" s="88">
        <v>21</v>
      </c>
      <c r="M41" s="88">
        <v>20</v>
      </c>
      <c r="N41" s="88">
        <v>19</v>
      </c>
      <c r="O41" s="88">
        <v>18</v>
      </c>
      <c r="P41" s="88">
        <v>17</v>
      </c>
      <c r="Q41" s="88">
        <v>16</v>
      </c>
      <c r="R41" s="88">
        <v>15</v>
      </c>
      <c r="S41" s="88">
        <v>14</v>
      </c>
      <c r="T41" s="88">
        <v>13</v>
      </c>
      <c r="U41" s="88">
        <v>12</v>
      </c>
      <c r="V41" s="88">
        <v>11</v>
      </c>
      <c r="W41" s="88">
        <v>10</v>
      </c>
      <c r="X41" s="88">
        <v>9</v>
      </c>
      <c r="Y41" s="88">
        <v>8</v>
      </c>
      <c r="Z41" s="88">
        <v>7</v>
      </c>
      <c r="AA41" s="88">
        <v>6</v>
      </c>
      <c r="AB41" s="88">
        <v>5</v>
      </c>
      <c r="AC41" s="88">
        <v>4</v>
      </c>
      <c r="AD41" s="88">
        <v>3</v>
      </c>
      <c r="AE41" s="88">
        <v>2</v>
      </c>
      <c r="AF41" s="88">
        <v>1</v>
      </c>
      <c r="AG41" s="88">
        <v>0</v>
      </c>
    </row>
    <row r="42" spans="5:34">
      <c r="F42" s="4" t="s">
        <v>39</v>
      </c>
      <c r="G42" s="5" t="s">
        <v>9</v>
      </c>
      <c r="H42" s="18"/>
      <c r="I42" s="4" t="s">
        <v>6</v>
      </c>
      <c r="J42" s="203" t="s">
        <v>7</v>
      </c>
      <c r="K42" s="203"/>
      <c r="L42" s="203"/>
      <c r="M42" s="203"/>
      <c r="N42" s="203"/>
      <c r="O42" s="203"/>
      <c r="P42" s="203"/>
      <c r="Q42" s="203"/>
      <c r="R42" s="203"/>
      <c r="S42" s="203"/>
      <c r="T42" s="203"/>
      <c r="U42" s="203"/>
      <c r="V42" s="203"/>
      <c r="W42" s="203"/>
      <c r="X42" s="203"/>
      <c r="Y42" s="203"/>
      <c r="Z42" s="203"/>
      <c r="AA42" s="203"/>
      <c r="AB42" s="203"/>
      <c r="AC42" s="203"/>
      <c r="AD42" s="203"/>
      <c r="AE42" s="203"/>
      <c r="AF42" s="203"/>
      <c r="AG42" s="203"/>
    </row>
    <row r="43" spans="5:34">
      <c r="F43" s="6" t="s">
        <v>393</v>
      </c>
      <c r="G43" s="7" t="s">
        <v>312</v>
      </c>
      <c r="H43" s="20">
        <v>110</v>
      </c>
      <c r="I43" s="56" t="str">
        <f>"0x" &amp; DEC2HEX(H43,2)</f>
        <v>0x6E</v>
      </c>
      <c r="J43" s="118" t="s">
        <v>386</v>
      </c>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20"/>
    </row>
    <row r="44" spans="5:34">
      <c r="F44" s="6" t="s">
        <v>349</v>
      </c>
      <c r="G44" s="7" t="s">
        <v>312</v>
      </c>
      <c r="H44" s="20">
        <v>111</v>
      </c>
      <c r="I44" s="56" t="str">
        <f t="shared" ref="I44:I60" si="1">"0x" &amp; DEC2HEX(H44,2)</f>
        <v>0x6F</v>
      </c>
      <c r="J44" s="6">
        <v>0</v>
      </c>
      <c r="K44" s="118" t="s">
        <v>347</v>
      </c>
      <c r="L44" s="119"/>
      <c r="M44" s="119"/>
      <c r="N44" s="119"/>
      <c r="O44" s="119"/>
      <c r="P44" s="119"/>
      <c r="Q44" s="120"/>
      <c r="R44" s="119" t="s">
        <v>348</v>
      </c>
      <c r="S44" s="119"/>
      <c r="T44" s="119"/>
      <c r="U44" s="119"/>
      <c r="V44" s="119"/>
      <c r="W44" s="119"/>
      <c r="X44" s="119"/>
      <c r="Y44" s="119"/>
      <c r="Z44" s="119"/>
      <c r="AA44" s="119"/>
      <c r="AB44" s="119"/>
      <c r="AC44" s="119"/>
      <c r="AD44" s="119"/>
      <c r="AE44" s="119"/>
      <c r="AF44" s="119"/>
      <c r="AG44" s="120"/>
    </row>
    <row r="45" spans="5:34">
      <c r="F45" s="6" t="s">
        <v>350</v>
      </c>
      <c r="G45" s="7" t="s">
        <v>312</v>
      </c>
      <c r="H45" s="20">
        <v>112</v>
      </c>
      <c r="I45" s="56" t="str">
        <f t="shared" si="1"/>
        <v>0x70</v>
      </c>
      <c r="J45" s="6">
        <v>0</v>
      </c>
      <c r="K45" s="118" t="s">
        <v>347</v>
      </c>
      <c r="L45" s="119"/>
      <c r="M45" s="119"/>
      <c r="N45" s="119"/>
      <c r="O45" s="119"/>
      <c r="P45" s="119"/>
      <c r="Q45" s="120"/>
      <c r="R45" s="119" t="s">
        <v>348</v>
      </c>
      <c r="S45" s="119"/>
      <c r="T45" s="119"/>
      <c r="U45" s="119"/>
      <c r="V45" s="119"/>
      <c r="W45" s="119"/>
      <c r="X45" s="119"/>
      <c r="Y45" s="119"/>
      <c r="Z45" s="119"/>
      <c r="AA45" s="119"/>
      <c r="AB45" s="119"/>
      <c r="AC45" s="119"/>
      <c r="AD45" s="119"/>
      <c r="AE45" s="119"/>
      <c r="AF45" s="119"/>
      <c r="AG45" s="120"/>
    </row>
    <row r="46" spans="5:34">
      <c r="F46" s="6" t="s">
        <v>351</v>
      </c>
      <c r="G46" s="7" t="s">
        <v>312</v>
      </c>
      <c r="H46" s="20">
        <v>113</v>
      </c>
      <c r="I46" s="56" t="str">
        <f t="shared" si="1"/>
        <v>0x71</v>
      </c>
      <c r="J46" s="6">
        <v>0</v>
      </c>
      <c r="K46" s="118" t="s">
        <v>347</v>
      </c>
      <c r="L46" s="119"/>
      <c r="M46" s="119"/>
      <c r="N46" s="119"/>
      <c r="O46" s="119"/>
      <c r="P46" s="119"/>
      <c r="Q46" s="120"/>
      <c r="R46" s="119" t="s">
        <v>348</v>
      </c>
      <c r="S46" s="119"/>
      <c r="T46" s="119"/>
      <c r="U46" s="119"/>
      <c r="V46" s="119"/>
      <c r="W46" s="119"/>
      <c r="X46" s="119"/>
      <c r="Y46" s="119"/>
      <c r="Z46" s="119"/>
      <c r="AA46" s="119"/>
      <c r="AB46" s="119"/>
      <c r="AC46" s="119"/>
      <c r="AD46" s="119"/>
      <c r="AE46" s="119"/>
      <c r="AF46" s="119"/>
      <c r="AG46" s="120"/>
    </row>
    <row r="47" spans="5:34">
      <c r="F47" s="6" t="s">
        <v>352</v>
      </c>
      <c r="G47" s="7" t="s">
        <v>312</v>
      </c>
      <c r="H47" s="20">
        <v>114</v>
      </c>
      <c r="I47" s="56" t="str">
        <f t="shared" si="1"/>
        <v>0x72</v>
      </c>
      <c r="J47" s="6">
        <v>0</v>
      </c>
      <c r="K47" s="118" t="s">
        <v>347</v>
      </c>
      <c r="L47" s="119"/>
      <c r="M47" s="119"/>
      <c r="N47" s="119"/>
      <c r="O47" s="119"/>
      <c r="P47" s="119"/>
      <c r="Q47" s="120"/>
      <c r="R47" s="119" t="s">
        <v>348</v>
      </c>
      <c r="S47" s="119"/>
      <c r="T47" s="119"/>
      <c r="U47" s="119"/>
      <c r="V47" s="119"/>
      <c r="W47" s="119"/>
      <c r="X47" s="119"/>
      <c r="Y47" s="119"/>
      <c r="Z47" s="119"/>
      <c r="AA47" s="119"/>
      <c r="AB47" s="119"/>
      <c r="AC47" s="119"/>
      <c r="AD47" s="119"/>
      <c r="AE47" s="119"/>
      <c r="AF47" s="119"/>
      <c r="AG47" s="120"/>
    </row>
    <row r="48" spans="5:34">
      <c r="F48" s="6" t="s">
        <v>353</v>
      </c>
      <c r="G48" s="7" t="s">
        <v>312</v>
      </c>
      <c r="H48" s="20">
        <v>115</v>
      </c>
      <c r="I48" s="56" t="str">
        <f t="shared" si="1"/>
        <v>0x73</v>
      </c>
      <c r="J48" s="6">
        <v>0</v>
      </c>
      <c r="K48" s="118" t="s">
        <v>347</v>
      </c>
      <c r="L48" s="119"/>
      <c r="M48" s="119"/>
      <c r="N48" s="119"/>
      <c r="O48" s="119"/>
      <c r="P48" s="119"/>
      <c r="Q48" s="120"/>
      <c r="R48" s="119" t="s">
        <v>348</v>
      </c>
      <c r="S48" s="119"/>
      <c r="T48" s="119"/>
      <c r="U48" s="119"/>
      <c r="V48" s="119"/>
      <c r="W48" s="119"/>
      <c r="X48" s="119"/>
      <c r="Y48" s="119"/>
      <c r="Z48" s="119"/>
      <c r="AA48" s="119"/>
      <c r="AB48" s="119"/>
      <c r="AC48" s="119"/>
      <c r="AD48" s="119"/>
      <c r="AE48" s="119"/>
      <c r="AF48" s="119"/>
      <c r="AG48" s="120"/>
    </row>
    <row r="49" spans="6:33">
      <c r="F49" s="6" t="s">
        <v>354</v>
      </c>
      <c r="G49" s="7" t="s">
        <v>312</v>
      </c>
      <c r="H49" s="20">
        <v>116</v>
      </c>
      <c r="I49" s="56" t="str">
        <f t="shared" si="1"/>
        <v>0x74</v>
      </c>
      <c r="J49" s="6">
        <v>0</v>
      </c>
      <c r="K49" s="118" t="s">
        <v>347</v>
      </c>
      <c r="L49" s="119"/>
      <c r="M49" s="119"/>
      <c r="N49" s="119"/>
      <c r="O49" s="119"/>
      <c r="P49" s="119"/>
      <c r="Q49" s="120"/>
      <c r="R49" s="119" t="s">
        <v>348</v>
      </c>
      <c r="S49" s="119"/>
      <c r="T49" s="119"/>
      <c r="U49" s="119"/>
      <c r="V49" s="119"/>
      <c r="W49" s="119"/>
      <c r="X49" s="119"/>
      <c r="Y49" s="119"/>
      <c r="Z49" s="119"/>
      <c r="AA49" s="119"/>
      <c r="AB49" s="119"/>
      <c r="AC49" s="119"/>
      <c r="AD49" s="119"/>
      <c r="AE49" s="119"/>
      <c r="AF49" s="119"/>
      <c r="AG49" s="120"/>
    </row>
    <row r="50" spans="6:33">
      <c r="F50" s="6" t="s">
        <v>355</v>
      </c>
      <c r="G50" s="7" t="s">
        <v>312</v>
      </c>
      <c r="H50" s="20">
        <v>117</v>
      </c>
      <c r="I50" s="56" t="str">
        <f t="shared" si="1"/>
        <v>0x75</v>
      </c>
      <c r="J50" s="6">
        <v>0</v>
      </c>
      <c r="K50" s="118" t="s">
        <v>347</v>
      </c>
      <c r="L50" s="119"/>
      <c r="M50" s="119"/>
      <c r="N50" s="119"/>
      <c r="O50" s="119"/>
      <c r="P50" s="119"/>
      <c r="Q50" s="120"/>
      <c r="R50" s="119" t="s">
        <v>348</v>
      </c>
      <c r="S50" s="119"/>
      <c r="T50" s="119"/>
      <c r="U50" s="119"/>
      <c r="V50" s="119"/>
      <c r="W50" s="119"/>
      <c r="X50" s="119"/>
      <c r="Y50" s="119"/>
      <c r="Z50" s="119"/>
      <c r="AA50" s="119"/>
      <c r="AB50" s="119"/>
      <c r="AC50" s="119"/>
      <c r="AD50" s="119"/>
      <c r="AE50" s="119"/>
      <c r="AF50" s="119"/>
      <c r="AG50" s="120"/>
    </row>
    <row r="51" spans="6:33">
      <c r="F51" s="6" t="s">
        <v>356</v>
      </c>
      <c r="G51" s="7" t="s">
        <v>312</v>
      </c>
      <c r="H51" s="20">
        <v>118</v>
      </c>
      <c r="I51" s="56" t="str">
        <f t="shared" si="1"/>
        <v>0x76</v>
      </c>
      <c r="J51" s="6">
        <v>0</v>
      </c>
      <c r="K51" s="118" t="s">
        <v>347</v>
      </c>
      <c r="L51" s="119"/>
      <c r="M51" s="119"/>
      <c r="N51" s="119"/>
      <c r="O51" s="119"/>
      <c r="P51" s="119"/>
      <c r="Q51" s="120"/>
      <c r="R51" s="119" t="s">
        <v>348</v>
      </c>
      <c r="S51" s="119"/>
      <c r="T51" s="119"/>
      <c r="U51" s="119"/>
      <c r="V51" s="119"/>
      <c r="W51" s="119"/>
      <c r="X51" s="119"/>
      <c r="Y51" s="119"/>
      <c r="Z51" s="119"/>
      <c r="AA51" s="119"/>
      <c r="AB51" s="119"/>
      <c r="AC51" s="119"/>
      <c r="AD51" s="119"/>
      <c r="AE51" s="119"/>
      <c r="AF51" s="119"/>
      <c r="AG51" s="120"/>
    </row>
    <row r="52" spans="6:33">
      <c r="F52" s="6" t="s">
        <v>357</v>
      </c>
      <c r="G52" s="7" t="s">
        <v>312</v>
      </c>
      <c r="H52" s="20">
        <v>119</v>
      </c>
      <c r="I52" s="56" t="str">
        <f t="shared" si="1"/>
        <v>0x77</v>
      </c>
      <c r="J52" s="6">
        <v>0</v>
      </c>
      <c r="K52" s="118" t="s">
        <v>347</v>
      </c>
      <c r="L52" s="119"/>
      <c r="M52" s="119"/>
      <c r="N52" s="119"/>
      <c r="O52" s="119"/>
      <c r="P52" s="119"/>
      <c r="Q52" s="120"/>
      <c r="R52" s="119" t="s">
        <v>348</v>
      </c>
      <c r="S52" s="119"/>
      <c r="T52" s="119"/>
      <c r="U52" s="119"/>
      <c r="V52" s="119"/>
      <c r="W52" s="119"/>
      <c r="X52" s="119"/>
      <c r="Y52" s="119"/>
      <c r="Z52" s="119"/>
      <c r="AA52" s="119"/>
      <c r="AB52" s="119"/>
      <c r="AC52" s="119"/>
      <c r="AD52" s="119"/>
      <c r="AE52" s="119"/>
      <c r="AF52" s="119"/>
      <c r="AG52" s="120"/>
    </row>
    <row r="53" spans="6:33">
      <c r="F53" s="6" t="s">
        <v>358</v>
      </c>
      <c r="G53" s="7" t="s">
        <v>312</v>
      </c>
      <c r="H53" s="20">
        <v>120</v>
      </c>
      <c r="I53" s="56" t="str">
        <f t="shared" si="1"/>
        <v>0x78</v>
      </c>
      <c r="J53" s="6">
        <v>0</v>
      </c>
      <c r="K53" s="118" t="s">
        <v>347</v>
      </c>
      <c r="L53" s="119"/>
      <c r="M53" s="119"/>
      <c r="N53" s="119"/>
      <c r="O53" s="119"/>
      <c r="P53" s="119"/>
      <c r="Q53" s="120"/>
      <c r="R53" s="119" t="s">
        <v>348</v>
      </c>
      <c r="S53" s="119"/>
      <c r="T53" s="119"/>
      <c r="U53" s="119"/>
      <c r="V53" s="119"/>
      <c r="W53" s="119"/>
      <c r="X53" s="119"/>
      <c r="Y53" s="119"/>
      <c r="Z53" s="119"/>
      <c r="AA53" s="119"/>
      <c r="AB53" s="119"/>
      <c r="AC53" s="119"/>
      <c r="AD53" s="119"/>
      <c r="AE53" s="119"/>
      <c r="AF53" s="119"/>
      <c r="AG53" s="120"/>
    </row>
    <row r="54" spans="6:33">
      <c r="F54" s="6" t="s">
        <v>359</v>
      </c>
      <c r="G54" s="7" t="s">
        <v>312</v>
      </c>
      <c r="H54" s="20">
        <v>121</v>
      </c>
      <c r="I54" s="56" t="str">
        <f t="shared" si="1"/>
        <v>0x79</v>
      </c>
      <c r="J54" s="6">
        <v>0</v>
      </c>
      <c r="K54" s="118" t="s">
        <v>347</v>
      </c>
      <c r="L54" s="119"/>
      <c r="M54" s="119"/>
      <c r="N54" s="119"/>
      <c r="O54" s="119"/>
      <c r="P54" s="119"/>
      <c r="Q54" s="120"/>
      <c r="R54" s="119" t="s">
        <v>348</v>
      </c>
      <c r="S54" s="119"/>
      <c r="T54" s="119"/>
      <c r="U54" s="119"/>
      <c r="V54" s="119"/>
      <c r="W54" s="119"/>
      <c r="X54" s="119"/>
      <c r="Y54" s="119"/>
      <c r="Z54" s="119"/>
      <c r="AA54" s="119"/>
      <c r="AB54" s="119"/>
      <c r="AC54" s="119"/>
      <c r="AD54" s="119"/>
      <c r="AE54" s="119"/>
      <c r="AF54" s="119"/>
      <c r="AG54" s="120"/>
    </row>
    <row r="55" spans="6:33">
      <c r="F55" s="6" t="s">
        <v>360</v>
      </c>
      <c r="G55" s="7" t="s">
        <v>312</v>
      </c>
      <c r="H55" s="20">
        <v>122</v>
      </c>
      <c r="I55" s="56" t="str">
        <f t="shared" si="1"/>
        <v>0x7A</v>
      </c>
      <c r="J55" s="6">
        <v>0</v>
      </c>
      <c r="K55" s="118" t="s">
        <v>347</v>
      </c>
      <c r="L55" s="119"/>
      <c r="M55" s="119"/>
      <c r="N55" s="119"/>
      <c r="O55" s="119"/>
      <c r="P55" s="119"/>
      <c r="Q55" s="120"/>
      <c r="R55" s="119" t="s">
        <v>348</v>
      </c>
      <c r="S55" s="119"/>
      <c r="T55" s="119"/>
      <c r="U55" s="119"/>
      <c r="V55" s="119"/>
      <c r="W55" s="119"/>
      <c r="X55" s="119"/>
      <c r="Y55" s="119"/>
      <c r="Z55" s="119"/>
      <c r="AA55" s="119"/>
      <c r="AB55" s="119"/>
      <c r="AC55" s="119"/>
      <c r="AD55" s="119"/>
      <c r="AE55" s="119"/>
      <c r="AF55" s="119"/>
      <c r="AG55" s="120"/>
    </row>
    <row r="56" spans="6:33">
      <c r="F56" s="6" t="s">
        <v>388</v>
      </c>
      <c r="G56" s="7" t="s">
        <v>312</v>
      </c>
      <c r="H56" s="20">
        <v>123</v>
      </c>
      <c r="I56" s="56" t="str">
        <f t="shared" si="1"/>
        <v>0x7B</v>
      </c>
      <c r="J56" s="6">
        <v>0</v>
      </c>
      <c r="K56" s="6">
        <v>0</v>
      </c>
      <c r="L56" s="6">
        <v>0</v>
      </c>
      <c r="M56" s="6">
        <v>0</v>
      </c>
      <c r="N56" s="157" t="s">
        <v>384</v>
      </c>
      <c r="O56" s="158"/>
      <c r="P56" s="158"/>
      <c r="Q56" s="158"/>
      <c r="R56" s="158"/>
      <c r="S56" s="158"/>
      <c r="T56" s="158"/>
      <c r="U56" s="158"/>
      <c r="V56" s="158"/>
      <c r="W56" s="158"/>
      <c r="X56" s="158"/>
      <c r="Y56" s="158"/>
      <c r="Z56" s="158"/>
      <c r="AA56" s="158"/>
      <c r="AB56" s="158"/>
      <c r="AC56" s="158"/>
      <c r="AD56" s="158"/>
      <c r="AE56" s="158"/>
      <c r="AF56" s="158"/>
      <c r="AG56" s="159"/>
    </row>
    <row r="57" spans="6:33" ht="24.75">
      <c r="F57" s="6" t="s">
        <v>369</v>
      </c>
      <c r="G57" s="7" t="s">
        <v>370</v>
      </c>
      <c r="H57" s="20">
        <v>124</v>
      </c>
      <c r="I57" s="56" t="str">
        <f t="shared" si="1"/>
        <v>0x7C</v>
      </c>
      <c r="J57" s="118" t="s">
        <v>321</v>
      </c>
      <c r="K57" s="119"/>
      <c r="L57" s="119"/>
      <c r="M57" s="119"/>
      <c r="N57" s="119"/>
      <c r="O57" s="119"/>
      <c r="P57" s="119"/>
      <c r="Q57" s="119"/>
      <c r="R57" s="119"/>
      <c r="S57" s="119"/>
      <c r="T57" s="119"/>
      <c r="U57" s="119"/>
      <c r="V57" s="119"/>
      <c r="W57" s="119"/>
      <c r="X57" s="119"/>
      <c r="Y57" s="119"/>
      <c r="Z57" s="119"/>
      <c r="AA57" s="119"/>
      <c r="AB57" s="119"/>
      <c r="AC57" s="119"/>
      <c r="AD57" s="119"/>
      <c r="AE57" s="119"/>
      <c r="AF57" s="120"/>
      <c r="AG57" s="97" t="s">
        <v>372</v>
      </c>
    </row>
    <row r="58" spans="6:33">
      <c r="F58" s="6" t="s">
        <v>389</v>
      </c>
      <c r="G58" s="7" t="s">
        <v>312</v>
      </c>
      <c r="H58" s="20">
        <v>125</v>
      </c>
      <c r="I58" s="56" t="str">
        <f t="shared" si="1"/>
        <v>0x7D</v>
      </c>
      <c r="J58" s="118" t="s">
        <v>391</v>
      </c>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20"/>
    </row>
    <row r="59" spans="6:33" ht="17.45" customHeight="1">
      <c r="F59" s="6" t="s">
        <v>371</v>
      </c>
      <c r="G59" s="7" t="s">
        <v>370</v>
      </c>
      <c r="H59" s="20">
        <v>126</v>
      </c>
      <c r="I59" s="56" t="str">
        <f t="shared" si="1"/>
        <v>0x7E</v>
      </c>
      <c r="J59" s="118" t="s">
        <v>321</v>
      </c>
      <c r="K59" s="119"/>
      <c r="L59" s="119"/>
      <c r="M59" s="119"/>
      <c r="N59" s="119"/>
      <c r="O59" s="119"/>
      <c r="P59" s="119"/>
      <c r="Q59" s="119"/>
      <c r="R59" s="119"/>
      <c r="S59" s="119"/>
      <c r="T59" s="119"/>
      <c r="U59" s="119"/>
      <c r="V59" s="119"/>
      <c r="W59" s="119"/>
      <c r="X59" s="119"/>
      <c r="Y59" s="119"/>
      <c r="Z59" s="119"/>
      <c r="AA59" s="119"/>
      <c r="AB59" s="119"/>
      <c r="AC59" s="119"/>
      <c r="AD59" s="119"/>
      <c r="AE59" s="119"/>
      <c r="AF59" s="120"/>
      <c r="AG59" s="97" t="s">
        <v>372</v>
      </c>
    </row>
    <row r="60" spans="6:33">
      <c r="F60" s="6" t="s">
        <v>390</v>
      </c>
      <c r="G60" s="96" t="s">
        <v>313</v>
      </c>
      <c r="H60" s="20">
        <v>127</v>
      </c>
      <c r="I60" s="56" t="str">
        <f t="shared" si="1"/>
        <v>0x7F</v>
      </c>
      <c r="J60" s="118" t="s">
        <v>392</v>
      </c>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20"/>
    </row>
  </sheetData>
  <mergeCells count="63">
    <mergeCell ref="J59:AF59"/>
    <mergeCell ref="J60:AG60"/>
    <mergeCell ref="N56:AG56"/>
    <mergeCell ref="J57:AF57"/>
    <mergeCell ref="J58:AG58"/>
    <mergeCell ref="K53:Q53"/>
    <mergeCell ref="R53:AG53"/>
    <mergeCell ref="K54:Q54"/>
    <mergeCell ref="R54:AG54"/>
    <mergeCell ref="K55:Q55"/>
    <mergeCell ref="R55:AG55"/>
    <mergeCell ref="K50:Q50"/>
    <mergeCell ref="R50:AG50"/>
    <mergeCell ref="K51:Q51"/>
    <mergeCell ref="R51:AG51"/>
    <mergeCell ref="K52:Q52"/>
    <mergeCell ref="R52:AG52"/>
    <mergeCell ref="K47:Q47"/>
    <mergeCell ref="R47:AG47"/>
    <mergeCell ref="K48:Q48"/>
    <mergeCell ref="R48:AG48"/>
    <mergeCell ref="K49:Q49"/>
    <mergeCell ref="R49:AG49"/>
    <mergeCell ref="K44:Q44"/>
    <mergeCell ref="R44:AG44"/>
    <mergeCell ref="K45:Q45"/>
    <mergeCell ref="R45:AG45"/>
    <mergeCell ref="K46:Q46"/>
    <mergeCell ref="R46:AG46"/>
    <mergeCell ref="J42:AG42"/>
    <mergeCell ref="F40:AG40"/>
    <mergeCell ref="J43:AG43"/>
    <mergeCell ref="J2:AG2"/>
    <mergeCell ref="AF9:AG9"/>
    <mergeCell ref="J3:Q3"/>
    <mergeCell ref="S3:T3"/>
    <mergeCell ref="J4:Q4"/>
    <mergeCell ref="S4:W4"/>
    <mergeCell ref="X4:AA4"/>
    <mergeCell ref="AB4:AG4"/>
    <mergeCell ref="J6:AG6"/>
    <mergeCell ref="F12:I12"/>
    <mergeCell ref="J14:AG16"/>
    <mergeCell ref="F15:I15"/>
    <mergeCell ref="N5:AG5"/>
    <mergeCell ref="J17:AG19"/>
    <mergeCell ref="F18:I18"/>
    <mergeCell ref="J11:AG13"/>
    <mergeCell ref="Z9:AE9"/>
    <mergeCell ref="N9:Y9"/>
    <mergeCell ref="X10:AG10"/>
    <mergeCell ref="R10:W10"/>
    <mergeCell ref="F21:I21"/>
    <mergeCell ref="J23:AG25"/>
    <mergeCell ref="F24:I24"/>
    <mergeCell ref="J26:AG28"/>
    <mergeCell ref="F27:I27"/>
    <mergeCell ref="J20:AG22"/>
    <mergeCell ref="J29:AG31"/>
    <mergeCell ref="F30:I30"/>
    <mergeCell ref="J32:AG34"/>
    <mergeCell ref="F33:I33"/>
    <mergeCell ref="Z35:AG35"/>
  </mergeCells>
  <phoneticPr fontId="1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M28"/>
  <sheetViews>
    <sheetView zoomScale="70" zoomScaleNormal="70" workbookViewId="0">
      <selection activeCell="AE35" sqref="AE35"/>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 min="39" max="39" width="21" customWidth="1"/>
  </cols>
  <sheetData>
    <row r="1" spans="5:38">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c r="F2" s="4" t="s">
        <v>39</v>
      </c>
      <c r="G2" s="5" t="s">
        <v>9</v>
      </c>
      <c r="H2" s="18"/>
      <c r="I2" s="4" t="s">
        <v>6</v>
      </c>
      <c r="J2" s="203" t="s">
        <v>7</v>
      </c>
      <c r="K2" s="203"/>
      <c r="L2" s="203"/>
      <c r="M2" s="203"/>
      <c r="N2" s="203"/>
      <c r="O2" s="203"/>
      <c r="P2" s="203"/>
      <c r="Q2" s="203"/>
      <c r="R2" s="203"/>
      <c r="S2" s="203"/>
      <c r="T2" s="203"/>
      <c r="U2" s="203"/>
      <c r="V2" s="203"/>
      <c r="W2" s="203"/>
      <c r="X2" s="203"/>
      <c r="Y2" s="203"/>
      <c r="Z2" s="203"/>
      <c r="AA2" s="203"/>
      <c r="AB2" s="203"/>
      <c r="AC2" s="203"/>
      <c r="AD2" s="203"/>
      <c r="AE2" s="203"/>
      <c r="AF2" s="203"/>
      <c r="AG2" s="203"/>
    </row>
    <row r="3" spans="5:38" ht="76.5" customHeight="1">
      <c r="E3" s="3"/>
      <c r="F3" s="6" t="s">
        <v>10</v>
      </c>
      <c r="G3" s="7" t="s">
        <v>28</v>
      </c>
      <c r="H3" s="20">
        <v>0</v>
      </c>
      <c r="I3" s="8" t="str">
        <f t="shared" ref="I3" si="0">"0x" &amp; DEC2HEX(H3,2)</f>
        <v>0x00</v>
      </c>
      <c r="J3" s="121" t="s">
        <v>23</v>
      </c>
      <c r="K3" s="121"/>
      <c r="L3" s="121"/>
      <c r="M3" s="121"/>
      <c r="N3" s="121"/>
      <c r="O3" s="121"/>
      <c r="P3" s="121"/>
      <c r="Q3" s="121"/>
      <c r="R3" s="15" t="s">
        <v>147</v>
      </c>
      <c r="S3" s="121" t="s">
        <v>49</v>
      </c>
      <c r="T3" s="121"/>
      <c r="U3" s="15" t="s">
        <v>36</v>
      </c>
      <c r="V3" s="82" t="s">
        <v>302</v>
      </c>
      <c r="W3" s="15" t="s">
        <v>52</v>
      </c>
      <c r="X3" s="15" t="s">
        <v>20</v>
      </c>
      <c r="Y3" s="15" t="s">
        <v>19</v>
      </c>
      <c r="Z3" s="15" t="s">
        <v>18</v>
      </c>
      <c r="AA3" s="15" t="s">
        <v>17</v>
      </c>
      <c r="AB3" s="15" t="s">
        <v>16</v>
      </c>
      <c r="AC3" s="15" t="s">
        <v>15</v>
      </c>
      <c r="AD3" s="15" t="s">
        <v>14</v>
      </c>
      <c r="AE3" s="15" t="s">
        <v>13</v>
      </c>
      <c r="AF3" s="15" t="s">
        <v>12</v>
      </c>
      <c r="AG3" s="15" t="s">
        <v>11</v>
      </c>
    </row>
    <row r="4" spans="5:38" ht="15">
      <c r="E4" s="3"/>
    </row>
    <row r="5" spans="5:38" ht="30" customHeight="1" thickBot="1"/>
    <row r="6" spans="5:38" ht="27" customHeight="1" thickBot="1">
      <c r="AI6" s="57" t="s">
        <v>188</v>
      </c>
      <c r="AJ6" s="68" t="s">
        <v>189</v>
      </c>
      <c r="AK6" s="58" t="s">
        <v>71</v>
      </c>
      <c r="AL6" s="59" t="s">
        <v>190</v>
      </c>
    </row>
    <row r="7" spans="5:38" ht="15.75" thickBot="1">
      <c r="AI7" s="60" t="s">
        <v>9</v>
      </c>
      <c r="AJ7" s="69">
        <v>31</v>
      </c>
      <c r="AK7" s="61" t="s">
        <v>191</v>
      </c>
      <c r="AL7" s="62" t="s">
        <v>192</v>
      </c>
    </row>
    <row r="8" spans="5:38" ht="15.75" thickBot="1">
      <c r="AI8" s="63" t="s">
        <v>193</v>
      </c>
      <c r="AJ8" s="70" t="s">
        <v>220</v>
      </c>
      <c r="AK8" s="64" t="s">
        <v>194</v>
      </c>
      <c r="AL8" s="65" t="s">
        <v>54</v>
      </c>
    </row>
    <row r="9" spans="5:38">
      <c r="AI9" s="217" t="s">
        <v>23</v>
      </c>
      <c r="AJ9" s="220" t="s">
        <v>221</v>
      </c>
      <c r="AK9" s="209" t="s">
        <v>195</v>
      </c>
      <c r="AL9" s="66" t="s">
        <v>196</v>
      </c>
    </row>
    <row r="10" spans="5:38" ht="15" thickBot="1">
      <c r="AI10" s="219"/>
      <c r="AJ10" s="222"/>
      <c r="AK10" s="210"/>
      <c r="AL10" s="62" t="s">
        <v>197</v>
      </c>
    </row>
    <row r="11" spans="5:38">
      <c r="AI11" s="211" t="s">
        <v>147</v>
      </c>
      <c r="AJ11" s="213">
        <v>15</v>
      </c>
      <c r="AK11" s="215" t="s">
        <v>198</v>
      </c>
      <c r="AL11" s="67" t="s">
        <v>199</v>
      </c>
    </row>
    <row r="12" spans="5:38" ht="15" thickBot="1">
      <c r="AI12" s="212"/>
      <c r="AJ12" s="214"/>
      <c r="AK12" s="216"/>
      <c r="AL12" s="65" t="s">
        <v>200</v>
      </c>
    </row>
    <row r="13" spans="5:38">
      <c r="AI13" s="217" t="s">
        <v>49</v>
      </c>
      <c r="AJ13" s="220" t="s">
        <v>222</v>
      </c>
      <c r="AK13" s="209" t="s">
        <v>201</v>
      </c>
      <c r="AL13" s="66" t="s">
        <v>202</v>
      </c>
    </row>
    <row r="14" spans="5:38">
      <c r="AI14" s="218"/>
      <c r="AJ14" s="221"/>
      <c r="AK14" s="223"/>
      <c r="AL14" s="66" t="s">
        <v>203</v>
      </c>
    </row>
    <row r="15" spans="5:38" ht="15" thickBot="1">
      <c r="AI15" s="219"/>
      <c r="AJ15" s="222"/>
      <c r="AK15" s="210"/>
      <c r="AL15" s="62" t="s">
        <v>204</v>
      </c>
    </row>
    <row r="16" spans="5:38" ht="43.5" thickBot="1">
      <c r="AI16" s="63" t="s">
        <v>36</v>
      </c>
      <c r="AJ16" s="70">
        <v>12</v>
      </c>
      <c r="AK16" s="64" t="s">
        <v>205</v>
      </c>
      <c r="AL16" s="65"/>
    </row>
    <row r="17" spans="35:39" ht="15.75" thickBot="1">
      <c r="AI17" s="60" t="s">
        <v>302</v>
      </c>
      <c r="AJ17" s="69">
        <v>11</v>
      </c>
      <c r="AK17" s="61" t="s">
        <v>304</v>
      </c>
      <c r="AL17" s="65" t="s">
        <v>207</v>
      </c>
      <c r="AM17" s="83" t="s">
        <v>303</v>
      </c>
    </row>
    <row r="18" spans="35:39" ht="15.75" thickBot="1">
      <c r="AI18" s="63" t="s">
        <v>52</v>
      </c>
      <c r="AJ18" s="70">
        <v>10</v>
      </c>
      <c r="AK18" s="64" t="s">
        <v>206</v>
      </c>
      <c r="AL18" s="65" t="s">
        <v>207</v>
      </c>
    </row>
    <row r="19" spans="35:39" ht="15.75" thickBot="1">
      <c r="AI19" s="60" t="s">
        <v>20</v>
      </c>
      <c r="AJ19" s="69">
        <v>9</v>
      </c>
      <c r="AK19" s="61" t="s">
        <v>208</v>
      </c>
      <c r="AL19" s="62" t="s">
        <v>207</v>
      </c>
    </row>
    <row r="20" spans="35:39" ht="15.75" thickBot="1">
      <c r="AI20" s="63" t="s">
        <v>19</v>
      </c>
      <c r="AJ20" s="70">
        <v>8</v>
      </c>
      <c r="AK20" s="64" t="s">
        <v>209</v>
      </c>
      <c r="AL20" s="65" t="s">
        <v>207</v>
      </c>
    </row>
    <row r="21" spans="35:39" ht="15.75" thickBot="1">
      <c r="AI21" s="60" t="s">
        <v>18</v>
      </c>
      <c r="AJ21" s="69">
        <v>7</v>
      </c>
      <c r="AK21" s="61" t="s">
        <v>210</v>
      </c>
      <c r="AL21" s="62" t="s">
        <v>207</v>
      </c>
    </row>
    <row r="22" spans="35:39" ht="15.75" thickBot="1">
      <c r="AI22" s="63" t="s">
        <v>17</v>
      </c>
      <c r="AJ22" s="70">
        <v>6</v>
      </c>
      <c r="AK22" s="64" t="s">
        <v>211</v>
      </c>
      <c r="AL22" s="65" t="s">
        <v>207</v>
      </c>
    </row>
    <row r="23" spans="35:39" ht="15.75" thickBot="1">
      <c r="AI23" s="60" t="s">
        <v>212</v>
      </c>
      <c r="AJ23" s="69">
        <v>5</v>
      </c>
      <c r="AK23" s="61" t="s">
        <v>213</v>
      </c>
      <c r="AL23" s="62" t="s">
        <v>207</v>
      </c>
    </row>
    <row r="24" spans="35:39" ht="15.75" thickBot="1">
      <c r="AI24" s="63" t="s">
        <v>214</v>
      </c>
      <c r="AJ24" s="70">
        <v>4</v>
      </c>
      <c r="AK24" s="64" t="s">
        <v>215</v>
      </c>
      <c r="AL24" s="65" t="s">
        <v>207</v>
      </c>
    </row>
    <row r="25" spans="35:39" ht="15.75" thickBot="1">
      <c r="AI25" s="60" t="s">
        <v>14</v>
      </c>
      <c r="AJ25" s="69">
        <v>3</v>
      </c>
      <c r="AK25" s="61" t="s">
        <v>216</v>
      </c>
      <c r="AL25" s="62" t="s">
        <v>207</v>
      </c>
    </row>
    <row r="26" spans="35:39" ht="15.75" thickBot="1">
      <c r="AI26" s="63" t="s">
        <v>13</v>
      </c>
      <c r="AJ26" s="70">
        <v>2</v>
      </c>
      <c r="AK26" s="64" t="s">
        <v>217</v>
      </c>
      <c r="AL26" s="65" t="s">
        <v>207</v>
      </c>
    </row>
    <row r="27" spans="35:39" ht="15.75" thickBot="1">
      <c r="AI27" s="60" t="s">
        <v>12</v>
      </c>
      <c r="AJ27" s="69">
        <v>1</v>
      </c>
      <c r="AK27" s="61" t="s">
        <v>218</v>
      </c>
      <c r="AL27" s="62" t="s">
        <v>207</v>
      </c>
    </row>
    <row r="28" spans="35:39" ht="15.75" thickBot="1">
      <c r="AI28" s="63" t="s">
        <v>11</v>
      </c>
      <c r="AJ28" s="70">
        <v>0</v>
      </c>
      <c r="AK28" s="64" t="s">
        <v>219</v>
      </c>
      <c r="AL28" s="65" t="s">
        <v>207</v>
      </c>
    </row>
  </sheetData>
  <mergeCells count="12">
    <mergeCell ref="J3:Q3"/>
    <mergeCell ref="S3:T3"/>
    <mergeCell ref="J2:AG2"/>
    <mergeCell ref="AI9:AI10"/>
    <mergeCell ref="AJ9:AJ10"/>
    <mergeCell ref="AK9:AK10"/>
    <mergeCell ref="AI11:AI12"/>
    <mergeCell ref="AJ11:AJ12"/>
    <mergeCell ref="AK11:AK12"/>
    <mergeCell ref="AI13:AI15"/>
    <mergeCell ref="AJ13:AJ15"/>
    <mergeCell ref="AK13:AK15"/>
  </mergeCells>
  <phoneticPr fontId="1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3">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c r="F2" s="4" t="s">
        <v>39</v>
      </c>
      <c r="G2" s="5" t="s">
        <v>9</v>
      </c>
      <c r="H2" s="18"/>
      <c r="I2" s="4" t="s">
        <v>6</v>
      </c>
      <c r="J2" s="203" t="s">
        <v>7</v>
      </c>
      <c r="K2" s="203"/>
      <c r="L2" s="203"/>
      <c r="M2" s="203"/>
      <c r="N2" s="203"/>
      <c r="O2" s="203"/>
      <c r="P2" s="203"/>
      <c r="Q2" s="203"/>
      <c r="R2" s="203"/>
      <c r="S2" s="203"/>
      <c r="T2" s="203"/>
      <c r="U2" s="203"/>
      <c r="V2" s="203"/>
      <c r="W2" s="203"/>
      <c r="X2" s="203"/>
      <c r="Y2" s="203"/>
      <c r="Z2" s="203"/>
      <c r="AA2" s="203"/>
      <c r="AB2" s="203"/>
      <c r="AC2" s="203"/>
      <c r="AD2" s="203"/>
      <c r="AE2" s="203"/>
      <c r="AF2" s="203"/>
      <c r="AG2" s="203"/>
    </row>
    <row r="3" spans="5:33" ht="51.75" customHeight="1">
      <c r="E3" s="3"/>
      <c r="F3" s="6" t="s">
        <v>37</v>
      </c>
      <c r="G3" s="7" t="s">
        <v>28</v>
      </c>
      <c r="H3" s="20">
        <v>1</v>
      </c>
      <c r="I3" s="8" t="str">
        <f t="shared" ref="I3" si="0">"0x" &amp; DEC2HEX(H3,2)</f>
        <v>0x01</v>
      </c>
      <c r="J3" s="121" t="s">
        <v>24</v>
      </c>
      <c r="K3" s="121"/>
      <c r="L3" s="121"/>
      <c r="M3" s="121"/>
      <c r="N3" s="121"/>
      <c r="O3" s="121"/>
      <c r="P3" s="121"/>
      <c r="Q3" s="121"/>
      <c r="R3" s="9"/>
      <c r="S3" s="121" t="s">
        <v>27</v>
      </c>
      <c r="T3" s="121"/>
      <c r="U3" s="121"/>
      <c r="V3" s="121"/>
      <c r="W3" s="121"/>
      <c r="X3" s="121" t="s">
        <v>26</v>
      </c>
      <c r="Y3" s="121"/>
      <c r="Z3" s="121"/>
      <c r="AA3" s="121"/>
      <c r="AB3" s="121" t="s">
        <v>25</v>
      </c>
      <c r="AC3" s="121"/>
      <c r="AD3" s="121"/>
      <c r="AE3" s="121"/>
      <c r="AF3" s="121"/>
      <c r="AG3" s="121"/>
    </row>
    <row r="4" spans="5:33" ht="15">
      <c r="E4" s="3"/>
    </row>
  </sheetData>
  <mergeCells count="5">
    <mergeCell ref="J2:AG2"/>
    <mergeCell ref="J3:Q3"/>
    <mergeCell ref="S3:W3"/>
    <mergeCell ref="X3:AA3"/>
    <mergeCell ref="AB3:AG3"/>
  </mergeCells>
  <phoneticPr fontId="14"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N10"/>
  <sheetViews>
    <sheetView topLeftCell="T1" zoomScale="85" zoomScaleNormal="85" workbookViewId="0">
      <selection activeCell="AG6" sqref="AG6"/>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6.75" customWidth="1"/>
    <col min="36" max="36" width="18.375" style="2" customWidth="1"/>
    <col min="37" max="37" width="18.75" customWidth="1"/>
    <col min="38" max="38" width="10.125" customWidth="1"/>
    <col min="39" max="39" width="104.875" customWidth="1"/>
    <col min="40" max="40" width="25.875" bestFit="1" customWidth="1"/>
  </cols>
  <sheetData>
    <row r="1" spans="5:40">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0">
      <c r="F2" s="4" t="s">
        <v>39</v>
      </c>
      <c r="G2" s="5" t="s">
        <v>9</v>
      </c>
      <c r="H2" s="18"/>
      <c r="I2" s="4" t="s">
        <v>6</v>
      </c>
      <c r="J2" s="203" t="s">
        <v>7</v>
      </c>
      <c r="K2" s="203"/>
      <c r="L2" s="203"/>
      <c r="M2" s="203"/>
      <c r="N2" s="203"/>
      <c r="O2" s="203"/>
      <c r="P2" s="203"/>
      <c r="Q2" s="203"/>
      <c r="R2" s="203"/>
      <c r="S2" s="203"/>
      <c r="T2" s="203"/>
      <c r="U2" s="203"/>
      <c r="V2" s="203"/>
      <c r="W2" s="203"/>
      <c r="X2" s="203"/>
      <c r="Y2" s="203"/>
      <c r="Z2" s="203"/>
      <c r="AA2" s="203"/>
      <c r="AB2" s="203"/>
      <c r="AC2" s="203"/>
      <c r="AD2" s="203"/>
      <c r="AE2" s="203"/>
      <c r="AF2" s="203"/>
      <c r="AG2" s="203"/>
    </row>
    <row r="3" spans="5:40" ht="15">
      <c r="E3" s="3"/>
      <c r="F3" s="6" t="s">
        <v>22</v>
      </c>
      <c r="G3" s="7" t="s">
        <v>9</v>
      </c>
      <c r="H3" s="20">
        <v>6</v>
      </c>
      <c r="I3" s="8" t="str">
        <f t="shared" ref="I3" si="0">"0x" &amp; DEC2HEX(H3,2)</f>
        <v>0x06</v>
      </c>
      <c r="J3" s="9">
        <v>0</v>
      </c>
      <c r="K3" s="9">
        <v>0</v>
      </c>
      <c r="L3" s="9">
        <v>0</v>
      </c>
      <c r="M3" s="9">
        <v>0</v>
      </c>
      <c r="N3" s="197" t="s">
        <v>143</v>
      </c>
      <c r="O3" s="198"/>
      <c r="P3" s="198"/>
      <c r="Q3" s="198"/>
      <c r="R3" s="198"/>
      <c r="S3" s="198"/>
      <c r="T3" s="198"/>
      <c r="U3" s="198"/>
      <c r="V3" s="198"/>
      <c r="W3" s="198"/>
      <c r="X3" s="198"/>
      <c r="Y3" s="199"/>
      <c r="Z3" s="197" t="s">
        <v>142</v>
      </c>
      <c r="AA3" s="198"/>
      <c r="AB3" s="198"/>
      <c r="AC3" s="198"/>
      <c r="AD3" s="198"/>
      <c r="AE3" s="199"/>
      <c r="AF3" s="118" t="s">
        <v>5</v>
      </c>
      <c r="AG3" s="120"/>
      <c r="AN3" s="109" t="s">
        <v>425</v>
      </c>
    </row>
    <row r="4" spans="5:40" ht="19.149999999999999" customHeight="1">
      <c r="E4" s="3"/>
      <c r="AJ4" s="16"/>
      <c r="AK4" s="16" t="s">
        <v>70</v>
      </c>
      <c r="AL4" s="16" t="s">
        <v>76</v>
      </c>
      <c r="AM4" s="16"/>
    </row>
    <row r="5" spans="5:40" ht="30" customHeight="1">
      <c r="AJ5" s="227"/>
      <c r="AK5" s="227" t="s">
        <v>5</v>
      </c>
      <c r="AL5" s="227" t="s">
        <v>81</v>
      </c>
      <c r="AM5" s="225" t="s">
        <v>399</v>
      </c>
      <c r="AN5" s="224" t="s">
        <v>426</v>
      </c>
    </row>
    <row r="6" spans="5:40" ht="85.9" customHeight="1">
      <c r="AJ6" s="228"/>
      <c r="AK6" s="228"/>
      <c r="AL6" s="228"/>
      <c r="AM6" s="226"/>
      <c r="AN6" s="224"/>
    </row>
    <row r="7" spans="5:40">
      <c r="AJ7" s="228"/>
      <c r="AK7" s="228"/>
      <c r="AL7" s="228"/>
      <c r="AM7" s="226"/>
      <c r="AN7" s="224"/>
    </row>
    <row r="8" spans="5:40">
      <c r="AJ8" s="228"/>
      <c r="AK8" s="41" t="s">
        <v>142</v>
      </c>
      <c r="AL8" s="41" t="s">
        <v>145</v>
      </c>
      <c r="AM8" s="41" t="s">
        <v>144</v>
      </c>
      <c r="AN8" s="103">
        <v>10</v>
      </c>
    </row>
    <row r="9" spans="5:40">
      <c r="AJ9" s="228"/>
      <c r="AK9" s="41" t="s">
        <v>143</v>
      </c>
      <c r="AL9" s="41" t="s">
        <v>146</v>
      </c>
      <c r="AM9" s="41" t="s">
        <v>185</v>
      </c>
      <c r="AN9" s="103">
        <v>100</v>
      </c>
    </row>
    <row r="10" spans="5:40">
      <c r="AJ10" s="229"/>
      <c r="AK10" s="49" t="s">
        <v>80</v>
      </c>
      <c r="AL10" s="49" t="s">
        <v>91</v>
      </c>
      <c r="AM10" s="49"/>
    </row>
  </sheetData>
  <mergeCells count="9">
    <mergeCell ref="AN5:AN7"/>
    <mergeCell ref="AM5:AM7"/>
    <mergeCell ref="J2:AG2"/>
    <mergeCell ref="N3:Y3"/>
    <mergeCell ref="Z3:AE3"/>
    <mergeCell ref="AF3:AG3"/>
    <mergeCell ref="AJ5:AJ10"/>
    <mergeCell ref="AK5:AK7"/>
    <mergeCell ref="AL5:AL7"/>
  </mergeCells>
  <phoneticPr fontId="14"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R15"/>
  <sheetViews>
    <sheetView topLeftCell="W1" zoomScale="70" zoomScaleNormal="70" workbookViewId="0">
      <selection activeCell="AO20" sqref="AO20"/>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5.625" customWidth="1"/>
    <col min="43" max="43" width="45.625" customWidth="1"/>
    <col min="44" max="44" width="18" bestFit="1" customWidth="1"/>
  </cols>
  <sheetData>
    <row r="1" spans="5:44">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4">
      <c r="F2" s="4" t="s">
        <v>39</v>
      </c>
      <c r="G2" s="5" t="s">
        <v>9</v>
      </c>
      <c r="H2" s="18"/>
      <c r="I2" s="4" t="s">
        <v>6</v>
      </c>
      <c r="J2" s="203" t="s">
        <v>7</v>
      </c>
      <c r="K2" s="203"/>
      <c r="L2" s="203"/>
      <c r="M2" s="203"/>
      <c r="N2" s="203"/>
      <c r="O2" s="203"/>
      <c r="P2" s="203"/>
      <c r="Q2" s="203"/>
      <c r="R2" s="203"/>
      <c r="S2" s="203"/>
      <c r="T2" s="203"/>
      <c r="U2" s="203"/>
      <c r="V2" s="203"/>
      <c r="W2" s="203"/>
      <c r="X2" s="203"/>
      <c r="Y2" s="203"/>
      <c r="Z2" s="203"/>
      <c r="AA2" s="203"/>
      <c r="AB2" s="203"/>
      <c r="AC2" s="203"/>
      <c r="AD2" s="203"/>
      <c r="AE2" s="203"/>
      <c r="AF2" s="203"/>
      <c r="AG2" s="203"/>
    </row>
    <row r="3" spans="5:44" ht="58.5" customHeight="1">
      <c r="E3" s="3"/>
      <c r="F3" s="6" t="s">
        <v>21</v>
      </c>
      <c r="G3" s="7" t="s">
        <v>9</v>
      </c>
      <c r="H3" s="20">
        <v>7</v>
      </c>
      <c r="I3" s="8" t="str">
        <f t="shared" ref="I3" si="0">"0x" &amp; DEC2HEX(H3,2)</f>
        <v>0x07</v>
      </c>
      <c r="J3" s="15" t="s">
        <v>137</v>
      </c>
      <c r="K3" s="246" t="s">
        <v>131</v>
      </c>
      <c r="L3" s="246"/>
      <c r="M3" s="207" t="s">
        <v>396</v>
      </c>
      <c r="N3" s="207"/>
      <c r="O3" s="207"/>
      <c r="P3" s="207"/>
      <c r="Q3" s="207"/>
      <c r="R3" s="208"/>
      <c r="S3" s="239" t="s">
        <v>186</v>
      </c>
      <c r="T3" s="207"/>
      <c r="U3" s="207"/>
      <c r="V3" s="207"/>
      <c r="W3" s="207"/>
      <c r="X3" s="207"/>
      <c r="Y3" s="207"/>
      <c r="Z3" s="207"/>
      <c r="AA3" s="207"/>
      <c r="AB3" s="207"/>
      <c r="AC3" s="207"/>
      <c r="AD3" s="207"/>
      <c r="AE3" s="207"/>
      <c r="AF3" s="207"/>
      <c r="AG3" s="208"/>
      <c r="AR3" s="109" t="s">
        <v>425</v>
      </c>
    </row>
    <row r="4" spans="5:44" ht="15">
      <c r="E4" s="3"/>
      <c r="AL4" s="16"/>
      <c r="AM4" s="16" t="s">
        <v>70</v>
      </c>
      <c r="AN4" s="16" t="s">
        <v>76</v>
      </c>
      <c r="AO4" s="16" t="s">
        <v>71</v>
      </c>
      <c r="AP4" s="239" t="s">
        <v>157</v>
      </c>
      <c r="AQ4" s="208"/>
    </row>
    <row r="5" spans="5:44">
      <c r="AL5" s="241" t="s">
        <v>21</v>
      </c>
      <c r="AM5" s="240" t="s">
        <v>427</v>
      </c>
      <c r="AN5" s="241" t="s">
        <v>307</v>
      </c>
      <c r="AO5" s="242" t="s">
        <v>428</v>
      </c>
      <c r="AP5" s="232" t="s">
        <v>397</v>
      </c>
      <c r="AQ5" s="233"/>
      <c r="AR5" s="224" t="s">
        <v>423</v>
      </c>
    </row>
    <row r="6" spans="5:44" ht="78.599999999999994" customHeight="1">
      <c r="AL6" s="241"/>
      <c r="AM6" s="241"/>
      <c r="AN6" s="241"/>
      <c r="AO6" s="243"/>
      <c r="AP6" s="234"/>
      <c r="AQ6" s="235"/>
      <c r="AR6" s="224"/>
    </row>
    <row r="7" spans="5:44">
      <c r="AL7" s="241"/>
      <c r="AM7" s="49" t="s">
        <v>80</v>
      </c>
      <c r="AN7" s="49" t="s">
        <v>420</v>
      </c>
      <c r="AO7" s="50" t="s">
        <v>421</v>
      </c>
      <c r="AP7" s="244"/>
      <c r="AQ7" s="245"/>
    </row>
    <row r="8" spans="5:44">
      <c r="AL8" s="243"/>
      <c r="AM8" s="243" t="s">
        <v>187</v>
      </c>
      <c r="AN8" s="243" t="s">
        <v>404</v>
      </c>
      <c r="AO8" s="242" t="s">
        <v>159</v>
      </c>
      <c r="AP8" s="236" t="s">
        <v>158</v>
      </c>
      <c r="AQ8" s="233"/>
      <c r="AR8" s="224" t="s">
        <v>424</v>
      </c>
    </row>
    <row r="9" spans="5:44" ht="39" customHeight="1">
      <c r="AL9" s="243"/>
      <c r="AM9" s="243"/>
      <c r="AN9" s="243"/>
      <c r="AO9" s="243"/>
      <c r="AP9" s="237"/>
      <c r="AQ9" s="238"/>
      <c r="AR9" s="224"/>
    </row>
    <row r="10" spans="5:44">
      <c r="AL10" s="243"/>
      <c r="AM10" s="243"/>
      <c r="AN10" s="243"/>
      <c r="AO10" s="243"/>
      <c r="AP10" s="237"/>
      <c r="AQ10" s="238"/>
      <c r="AR10" s="224"/>
    </row>
    <row r="11" spans="5:44">
      <c r="AL11" s="243"/>
      <c r="AM11" s="243"/>
      <c r="AN11" s="243"/>
      <c r="AO11" s="243"/>
      <c r="AP11" s="234"/>
      <c r="AQ11" s="235"/>
      <c r="AR11" s="231"/>
    </row>
    <row r="12" spans="5:44">
      <c r="AL12" s="243"/>
      <c r="AM12" s="241" t="s">
        <v>395</v>
      </c>
      <c r="AN12" s="241" t="s">
        <v>422</v>
      </c>
      <c r="AO12" s="242" t="s">
        <v>141</v>
      </c>
      <c r="AP12" s="43">
        <v>0</v>
      </c>
      <c r="AQ12" s="41" t="s">
        <v>136</v>
      </c>
      <c r="AR12" s="230"/>
    </row>
    <row r="13" spans="5:44">
      <c r="AL13" s="243"/>
      <c r="AM13" s="241"/>
      <c r="AN13" s="241"/>
      <c r="AO13" s="242"/>
      <c r="AP13" s="101">
        <v>1</v>
      </c>
      <c r="AQ13" s="104" t="s">
        <v>138</v>
      </c>
      <c r="AR13" s="230"/>
    </row>
    <row r="14" spans="5:44">
      <c r="AL14" s="243"/>
      <c r="AM14" s="241" t="s">
        <v>137</v>
      </c>
      <c r="AN14" s="241" t="s">
        <v>308</v>
      </c>
      <c r="AO14" s="242" t="s">
        <v>160</v>
      </c>
      <c r="AP14" s="101">
        <v>0</v>
      </c>
      <c r="AQ14" s="104" t="s">
        <v>139</v>
      </c>
    </row>
    <row r="15" spans="5:44">
      <c r="AL15" s="243"/>
      <c r="AM15" s="241"/>
      <c r="AN15" s="243"/>
      <c r="AO15" s="243"/>
      <c r="AP15" s="43">
        <v>1</v>
      </c>
      <c r="AQ15" s="41" t="s">
        <v>140</v>
      </c>
    </row>
  </sheetData>
  <mergeCells count="24">
    <mergeCell ref="AO14:AO15"/>
    <mergeCell ref="AM12:AM13"/>
    <mergeCell ref="AN12:AN13"/>
    <mergeCell ref="AO12:AO13"/>
    <mergeCell ref="J2:AG2"/>
    <mergeCell ref="AL5:AL15"/>
    <mergeCell ref="S3:AG3"/>
    <mergeCell ref="AM14:AM15"/>
    <mergeCell ref="AN14:AN15"/>
    <mergeCell ref="M3:R3"/>
    <mergeCell ref="K3:L3"/>
    <mergeCell ref="AP4:AQ4"/>
    <mergeCell ref="AM5:AM6"/>
    <mergeCell ref="AN5:AN6"/>
    <mergeCell ref="AO5:AO6"/>
    <mergeCell ref="AM8:AM11"/>
    <mergeCell ref="AN8:AN11"/>
    <mergeCell ref="AO8:AO11"/>
    <mergeCell ref="AP7:AQ7"/>
    <mergeCell ref="AR12:AR13"/>
    <mergeCell ref="AR5:AR6"/>
    <mergeCell ref="AR8:AR11"/>
    <mergeCell ref="AP5:AQ6"/>
    <mergeCell ref="AP8:AQ11"/>
  </mergeCells>
  <phoneticPr fontId="14"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S43"/>
  <sheetViews>
    <sheetView tabSelected="1" topLeftCell="AK24" zoomScale="85" zoomScaleNormal="85" workbookViewId="0">
      <selection activeCell="AV55" sqref="AV55"/>
    </sheetView>
  </sheetViews>
  <sheetFormatPr defaultRowHeight="14.25"/>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2.875" customWidth="1"/>
    <col min="43" max="43" width="45.625" customWidth="1"/>
    <col min="44" max="44" width="25.25" customWidth="1"/>
    <col min="45" max="45" width="10.625" bestFit="1" customWidth="1"/>
    <col min="50" max="50" width="10.625" bestFit="1" customWidth="1"/>
  </cols>
  <sheetData>
    <row r="1" spans="5:45">
      <c r="F1" s="12"/>
      <c r="G1" s="13">
        <v>31</v>
      </c>
      <c r="H1" s="17" t="s">
        <v>41</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5">
      <c r="F2" s="4" t="s">
        <v>39</v>
      </c>
      <c r="G2" s="5" t="s">
        <v>9</v>
      </c>
      <c r="H2" s="18"/>
      <c r="I2" s="4" t="s">
        <v>6</v>
      </c>
      <c r="J2" s="203" t="s">
        <v>7</v>
      </c>
      <c r="K2" s="203"/>
      <c r="L2" s="203"/>
      <c r="M2" s="203"/>
      <c r="N2" s="203"/>
      <c r="O2" s="203"/>
      <c r="P2" s="203"/>
      <c r="Q2" s="203"/>
      <c r="R2" s="203"/>
      <c r="S2" s="203"/>
      <c r="T2" s="203"/>
      <c r="U2" s="203"/>
      <c r="V2" s="203"/>
      <c r="W2" s="203"/>
      <c r="X2" s="203"/>
      <c r="Y2" s="203"/>
      <c r="Z2" s="203"/>
      <c r="AA2" s="203"/>
      <c r="AB2" s="203"/>
      <c r="AC2" s="203"/>
      <c r="AD2" s="203"/>
      <c r="AE2" s="203"/>
      <c r="AF2" s="203"/>
      <c r="AG2" s="203"/>
    </row>
    <row r="3" spans="5:45" ht="44.25" customHeight="1">
      <c r="F3" s="6" t="s">
        <v>132</v>
      </c>
      <c r="G3" s="7" t="s">
        <v>9</v>
      </c>
      <c r="H3" s="20">
        <v>0</v>
      </c>
      <c r="I3" s="8" t="str">
        <f t="shared" ref="I3:I6" si="0">"0x" &amp; DEC2HEX(H3,2)</f>
        <v>0x00</v>
      </c>
      <c r="J3" s="11">
        <v>0</v>
      </c>
      <c r="K3" s="11">
        <v>0</v>
      </c>
      <c r="L3" s="121" t="s">
        <v>154</v>
      </c>
      <c r="M3" s="132"/>
      <c r="N3" s="132"/>
      <c r="O3" s="132"/>
      <c r="P3" s="132"/>
      <c r="Q3" s="132"/>
      <c r="R3" s="121" t="s">
        <v>1</v>
      </c>
      <c r="S3" s="132"/>
      <c r="T3" s="132"/>
      <c r="U3" s="132"/>
      <c r="V3" s="132"/>
      <c r="W3" s="132"/>
      <c r="X3" s="121" t="s">
        <v>0</v>
      </c>
      <c r="Y3" s="132"/>
      <c r="Z3" s="132"/>
      <c r="AA3" s="132"/>
      <c r="AB3" s="132"/>
      <c r="AC3" s="132"/>
      <c r="AD3" s="15" t="s">
        <v>61</v>
      </c>
      <c r="AE3" s="121" t="s">
        <v>60</v>
      </c>
      <c r="AF3" s="121"/>
      <c r="AG3" s="15" t="s">
        <v>73</v>
      </c>
    </row>
    <row r="4" spans="5:45" ht="48.75" customHeight="1">
      <c r="F4" s="6" t="s">
        <v>133</v>
      </c>
      <c r="G4" s="7" t="s">
        <v>9</v>
      </c>
      <c r="H4" s="20">
        <v>1</v>
      </c>
      <c r="I4" s="8" t="str">
        <f t="shared" si="0"/>
        <v>0x01</v>
      </c>
      <c r="J4" s="11">
        <v>0</v>
      </c>
      <c r="K4" s="11">
        <v>0</v>
      </c>
      <c r="L4" s="11">
        <v>0</v>
      </c>
      <c r="M4" s="11">
        <v>0</v>
      </c>
      <c r="N4" s="121" t="s">
        <v>66</v>
      </c>
      <c r="O4" s="132"/>
      <c r="P4" s="132"/>
      <c r="Q4" s="132"/>
      <c r="R4" s="121" t="s">
        <v>65</v>
      </c>
      <c r="S4" s="132"/>
      <c r="T4" s="132"/>
      <c r="U4" s="132"/>
      <c r="V4" s="121" t="s">
        <v>67</v>
      </c>
      <c r="W4" s="132"/>
      <c r="X4" s="121" t="s">
        <v>63</v>
      </c>
      <c r="Y4" s="132"/>
      <c r="Z4" s="132"/>
      <c r="AA4" s="132"/>
      <c r="AB4" s="121" t="s">
        <v>64</v>
      </c>
      <c r="AC4" s="132"/>
      <c r="AD4" s="132"/>
      <c r="AE4" s="132"/>
      <c r="AF4" s="121" t="s">
        <v>62</v>
      </c>
      <c r="AG4" s="132"/>
    </row>
    <row r="5" spans="5:45" ht="58.5" customHeight="1">
      <c r="F5" s="6" t="s">
        <v>134</v>
      </c>
      <c r="G5" s="7" t="s">
        <v>9</v>
      </c>
      <c r="H5" s="20">
        <v>2</v>
      </c>
      <c r="I5" s="8" t="str">
        <f t="shared" si="0"/>
        <v>0x02</v>
      </c>
      <c r="J5" s="11">
        <v>0</v>
      </c>
      <c r="K5" s="11">
        <v>0</v>
      </c>
      <c r="L5" s="11">
        <v>0</v>
      </c>
      <c r="M5" s="11">
        <v>0</v>
      </c>
      <c r="N5" s="11">
        <v>0</v>
      </c>
      <c r="O5" s="11">
        <v>0</v>
      </c>
      <c r="P5" s="11">
        <v>0</v>
      </c>
      <c r="Q5" s="11">
        <v>0</v>
      </c>
      <c r="R5" s="11">
        <v>0</v>
      </c>
      <c r="S5" s="11">
        <v>0</v>
      </c>
      <c r="T5" s="121" t="s">
        <v>68</v>
      </c>
      <c r="U5" s="121"/>
      <c r="V5" s="121"/>
      <c r="W5" s="121"/>
      <c r="X5" s="118" t="s">
        <v>111</v>
      </c>
      <c r="Y5" s="207"/>
      <c r="Z5" s="208"/>
      <c r="AA5" s="121" t="s">
        <v>68</v>
      </c>
      <c r="AB5" s="121"/>
      <c r="AC5" s="121"/>
      <c r="AD5" s="121"/>
      <c r="AE5" s="118" t="s">
        <v>112</v>
      </c>
      <c r="AF5" s="207"/>
      <c r="AG5" s="208"/>
    </row>
    <row r="6" spans="5:45" ht="57" customHeight="1">
      <c r="F6" s="6" t="s">
        <v>135</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97</v>
      </c>
      <c r="Z6" s="239" t="s">
        <v>98</v>
      </c>
      <c r="AA6" s="207"/>
      <c r="AB6" s="207"/>
      <c r="AC6" s="207"/>
      <c r="AD6" s="207"/>
      <c r="AE6" s="207"/>
      <c r="AF6" s="207"/>
      <c r="AG6" s="208"/>
      <c r="AS6" s="109" t="s">
        <v>425</v>
      </c>
    </row>
    <row r="7" spans="5:45" ht="15">
      <c r="E7" s="3"/>
    </row>
    <row r="8" spans="5:45" ht="15">
      <c r="E8" s="3"/>
      <c r="AL8" s="16"/>
      <c r="AM8" s="16" t="s">
        <v>70</v>
      </c>
      <c r="AN8" s="16" t="s">
        <v>76</v>
      </c>
      <c r="AO8" s="16" t="s">
        <v>71</v>
      </c>
      <c r="AP8" s="16"/>
      <c r="AQ8" s="16"/>
      <c r="AR8" s="56" t="s">
        <v>300</v>
      </c>
    </row>
    <row r="9" spans="5:45">
      <c r="AL9" s="241" t="s">
        <v>132</v>
      </c>
      <c r="AM9" s="241" t="s">
        <v>398</v>
      </c>
      <c r="AN9" s="241" t="s">
        <v>77</v>
      </c>
      <c r="AO9" s="242" t="s">
        <v>72</v>
      </c>
      <c r="AP9" s="101">
        <v>0</v>
      </c>
      <c r="AQ9" s="102" t="s">
        <v>58</v>
      </c>
      <c r="AR9" s="56"/>
    </row>
    <row r="10" spans="5:45">
      <c r="AL10" s="241"/>
      <c r="AM10" s="241"/>
      <c r="AN10" s="241"/>
      <c r="AO10" s="243"/>
      <c r="AP10" s="43">
        <v>1</v>
      </c>
      <c r="AQ10" s="44" t="s">
        <v>59</v>
      </c>
      <c r="AR10" s="56"/>
    </row>
    <row r="11" spans="5:45">
      <c r="AL11" s="243"/>
      <c r="AM11" s="243" t="s">
        <v>60</v>
      </c>
      <c r="AN11" s="243" t="s">
        <v>78</v>
      </c>
      <c r="AO11" s="242" t="s">
        <v>74</v>
      </c>
      <c r="AP11" s="104" t="s">
        <v>54</v>
      </c>
      <c r="AQ11" s="104" t="s">
        <v>53</v>
      </c>
      <c r="AR11" s="56"/>
    </row>
    <row r="12" spans="5:45">
      <c r="AL12" s="243"/>
      <c r="AM12" s="243"/>
      <c r="AN12" s="243"/>
      <c r="AO12" s="243"/>
      <c r="AP12" s="44" t="s">
        <v>55</v>
      </c>
      <c r="AQ12" s="41" t="s">
        <v>3</v>
      </c>
      <c r="AR12" s="56"/>
    </row>
    <row r="13" spans="5:45">
      <c r="AL13" s="243"/>
      <c r="AM13" s="243"/>
      <c r="AN13" s="243"/>
      <c r="AO13" s="243"/>
      <c r="AP13" s="44" t="s">
        <v>56</v>
      </c>
      <c r="AQ13" s="41" t="s">
        <v>4</v>
      </c>
      <c r="AR13" s="56"/>
    </row>
    <row r="14" spans="5:45">
      <c r="AL14" s="243"/>
      <c r="AM14" s="243"/>
      <c r="AN14" s="243"/>
      <c r="AO14" s="243"/>
      <c r="AP14" s="44" t="s">
        <v>57</v>
      </c>
      <c r="AQ14" s="41" t="s">
        <v>114</v>
      </c>
      <c r="AR14" s="56"/>
    </row>
    <row r="15" spans="5:45">
      <c r="AL15" s="243"/>
      <c r="AM15" s="241" t="s">
        <v>61</v>
      </c>
      <c r="AN15" s="241" t="s">
        <v>79</v>
      </c>
      <c r="AO15" s="242" t="s">
        <v>75</v>
      </c>
      <c r="AP15" s="101">
        <v>0</v>
      </c>
      <c r="AQ15" s="104" t="s">
        <v>53</v>
      </c>
      <c r="AR15" s="56"/>
    </row>
    <row r="16" spans="5:45">
      <c r="AL16" s="243"/>
      <c r="AM16" s="241"/>
      <c r="AN16" s="243"/>
      <c r="AO16" s="243"/>
      <c r="AP16" s="43">
        <v>1</v>
      </c>
      <c r="AQ16" s="41" t="s">
        <v>2</v>
      </c>
      <c r="AR16" s="56"/>
    </row>
    <row r="17" spans="38:45" ht="28.5">
      <c r="AL17" s="243"/>
      <c r="AM17" s="44" t="s">
        <v>0</v>
      </c>
      <c r="AN17" s="44" t="s">
        <v>402</v>
      </c>
      <c r="AO17" s="42" t="s">
        <v>113</v>
      </c>
      <c r="AP17" s="44"/>
      <c r="AQ17" s="44"/>
      <c r="AR17" s="110"/>
      <c r="AS17" s="105" t="s">
        <v>415</v>
      </c>
    </row>
    <row r="18" spans="38:45" ht="28.5">
      <c r="AL18" s="243"/>
      <c r="AM18" s="44" t="s">
        <v>1</v>
      </c>
      <c r="AN18" s="44" t="s">
        <v>403</v>
      </c>
      <c r="AO18" s="42" t="s">
        <v>155</v>
      </c>
      <c r="AP18" s="44"/>
      <c r="AQ18" s="44"/>
      <c r="AR18" s="110"/>
      <c r="AS18" s="105" t="s">
        <v>415</v>
      </c>
    </row>
    <row r="19" spans="38:45" ht="28.5">
      <c r="AL19" s="243"/>
      <c r="AM19" s="44" t="s">
        <v>154</v>
      </c>
      <c r="AN19" s="44" t="s">
        <v>404</v>
      </c>
      <c r="AO19" s="42" t="s">
        <v>156</v>
      </c>
      <c r="AP19" s="44"/>
      <c r="AQ19" s="44"/>
      <c r="AR19" s="110"/>
      <c r="AS19" s="105" t="s">
        <v>415</v>
      </c>
    </row>
    <row r="20" spans="38:45">
      <c r="AL20" s="243"/>
      <c r="AM20" s="49" t="s">
        <v>80</v>
      </c>
      <c r="AN20" s="49" t="s">
        <v>405</v>
      </c>
      <c r="AO20" s="50" t="s">
        <v>96</v>
      </c>
      <c r="AP20" s="49"/>
      <c r="AQ20" s="49"/>
      <c r="AR20" s="71" t="s">
        <v>400</v>
      </c>
    </row>
    <row r="21" spans="38:45" ht="30" customHeight="1">
      <c r="AL21" s="247" t="s">
        <v>133</v>
      </c>
      <c r="AM21" s="45" t="s">
        <v>62</v>
      </c>
      <c r="AN21" s="45" t="s">
        <v>81</v>
      </c>
      <c r="AO21" s="46" t="s">
        <v>82</v>
      </c>
      <c r="AP21" s="47"/>
      <c r="AQ21" s="47"/>
      <c r="AR21" s="56"/>
      <c r="AS21" s="108" t="s">
        <v>416</v>
      </c>
    </row>
    <row r="22" spans="38:45" ht="28.5">
      <c r="AL22" s="247"/>
      <c r="AM22" s="45" t="s">
        <v>64</v>
      </c>
      <c r="AN22" s="45" t="s">
        <v>88</v>
      </c>
      <c r="AO22" s="46" t="s">
        <v>84</v>
      </c>
      <c r="AP22" s="47"/>
      <c r="AQ22" s="47"/>
      <c r="AR22" s="56"/>
      <c r="AS22" s="108" t="s">
        <v>417</v>
      </c>
    </row>
    <row r="23" spans="38:45" ht="28.5">
      <c r="AL23" s="249"/>
      <c r="AM23" s="45" t="s">
        <v>63</v>
      </c>
      <c r="AN23" s="45" t="s">
        <v>89</v>
      </c>
      <c r="AO23" s="46" t="s">
        <v>83</v>
      </c>
      <c r="AP23" s="47"/>
      <c r="AQ23" s="47"/>
      <c r="AR23" s="56"/>
      <c r="AS23" s="108" t="s">
        <v>417</v>
      </c>
    </row>
    <row r="24" spans="38:45" ht="28.5">
      <c r="AL24" s="249"/>
      <c r="AM24" s="45" t="s">
        <v>67</v>
      </c>
      <c r="AN24" s="45" t="s">
        <v>90</v>
      </c>
      <c r="AO24" s="46" t="s">
        <v>85</v>
      </c>
      <c r="AP24" s="47"/>
      <c r="AQ24" s="47"/>
      <c r="AR24" s="56"/>
      <c r="AS24" s="108" t="s">
        <v>416</v>
      </c>
    </row>
    <row r="25" spans="38:45" ht="28.5">
      <c r="AL25" s="249"/>
      <c r="AM25" s="45" t="s">
        <v>65</v>
      </c>
      <c r="AN25" s="45" t="s">
        <v>224</v>
      </c>
      <c r="AO25" s="46" t="s">
        <v>87</v>
      </c>
      <c r="AP25" s="47"/>
      <c r="AQ25" s="47"/>
      <c r="AR25" s="71" t="s">
        <v>290</v>
      </c>
      <c r="AS25" s="108" t="s">
        <v>417</v>
      </c>
    </row>
    <row r="26" spans="38:45" ht="28.5">
      <c r="AL26" s="249"/>
      <c r="AM26" s="45" t="s">
        <v>66</v>
      </c>
      <c r="AN26" s="45" t="s">
        <v>225</v>
      </c>
      <c r="AO26" s="46" t="s">
        <v>86</v>
      </c>
      <c r="AP26" s="47"/>
      <c r="AQ26" s="47"/>
      <c r="AR26" s="71" t="s">
        <v>291</v>
      </c>
      <c r="AS26" s="108" t="s">
        <v>417</v>
      </c>
    </row>
    <row r="27" spans="38:45">
      <c r="AL27" s="249"/>
      <c r="AM27" s="49" t="s">
        <v>80</v>
      </c>
      <c r="AN27" s="49" t="s">
        <v>91</v>
      </c>
      <c r="AO27" s="50" t="s">
        <v>96</v>
      </c>
      <c r="AP27" s="51"/>
      <c r="AQ27" s="51"/>
      <c r="AR27" s="56"/>
      <c r="AS27" s="106"/>
    </row>
    <row r="28" spans="38:45" ht="15" customHeight="1">
      <c r="AL28" s="243" t="s">
        <v>134</v>
      </c>
      <c r="AM28" s="243" t="s">
        <v>112</v>
      </c>
      <c r="AN28" s="243" t="s">
        <v>99</v>
      </c>
      <c r="AO28" s="242" t="s">
        <v>95</v>
      </c>
      <c r="AP28" s="107" t="s">
        <v>54</v>
      </c>
      <c r="AQ28" s="107" t="s">
        <v>106</v>
      </c>
      <c r="AR28" s="56"/>
      <c r="AS28" s="106"/>
    </row>
    <row r="29" spans="38:45">
      <c r="AL29" s="243"/>
      <c r="AM29" s="243"/>
      <c r="AN29" s="243"/>
      <c r="AO29" s="242"/>
      <c r="AP29" s="48" t="s">
        <v>55</v>
      </c>
      <c r="AQ29" s="48" t="s">
        <v>107</v>
      </c>
      <c r="AR29" s="56"/>
      <c r="AS29" s="106"/>
    </row>
    <row r="30" spans="38:45">
      <c r="AL30" s="243"/>
      <c r="AM30" s="248"/>
      <c r="AN30" s="248"/>
      <c r="AO30" s="248"/>
      <c r="AP30" s="48" t="s">
        <v>56</v>
      </c>
      <c r="AQ30" s="48" t="s">
        <v>108</v>
      </c>
      <c r="AR30" s="56"/>
      <c r="AS30" s="106"/>
    </row>
    <row r="31" spans="38:45">
      <c r="AL31" s="243"/>
      <c r="AM31" s="248"/>
      <c r="AN31" s="248"/>
      <c r="AO31" s="248"/>
      <c r="AP31" s="48" t="s">
        <v>57</v>
      </c>
      <c r="AQ31" s="48" t="s">
        <v>109</v>
      </c>
      <c r="AR31" s="56"/>
      <c r="AS31" s="106"/>
    </row>
    <row r="32" spans="38:45">
      <c r="AL32" s="243"/>
      <c r="AM32" s="248"/>
      <c r="AN32" s="248"/>
      <c r="AO32" s="248"/>
      <c r="AP32" s="48" t="s">
        <v>100</v>
      </c>
      <c r="AQ32" s="48" t="s">
        <v>110</v>
      </c>
      <c r="AR32" s="56"/>
      <c r="AS32" s="106"/>
    </row>
    <row r="33" spans="38:45" ht="42.75">
      <c r="AL33" s="243"/>
      <c r="AM33" s="44" t="s">
        <v>68</v>
      </c>
      <c r="AN33" s="44" t="s">
        <v>226</v>
      </c>
      <c r="AO33" s="42" t="s">
        <v>92</v>
      </c>
      <c r="AP33" s="48"/>
      <c r="AQ33" s="48"/>
      <c r="AR33" s="71" t="s">
        <v>290</v>
      </c>
      <c r="AS33" s="108" t="s">
        <v>417</v>
      </c>
    </row>
    <row r="34" spans="38:45" ht="15" customHeight="1">
      <c r="AL34" s="243"/>
      <c r="AM34" s="243" t="s">
        <v>111</v>
      </c>
      <c r="AN34" s="243" t="s">
        <v>227</v>
      </c>
      <c r="AO34" s="242" t="s">
        <v>93</v>
      </c>
      <c r="AP34" s="107" t="s">
        <v>54</v>
      </c>
      <c r="AQ34" s="107" t="s">
        <v>101</v>
      </c>
      <c r="AR34" s="250" t="s">
        <v>292</v>
      </c>
      <c r="AS34" s="106"/>
    </row>
    <row r="35" spans="38:45">
      <c r="AL35" s="243"/>
      <c r="AM35" s="243"/>
      <c r="AN35" s="243"/>
      <c r="AO35" s="242"/>
      <c r="AP35" s="48" t="s">
        <v>55</v>
      </c>
      <c r="AQ35" s="48" t="s">
        <v>102</v>
      </c>
      <c r="AR35" s="112"/>
      <c r="AS35" s="106"/>
    </row>
    <row r="36" spans="38:45">
      <c r="AL36" s="243"/>
      <c r="AM36" s="248"/>
      <c r="AN36" s="248"/>
      <c r="AO36" s="248"/>
      <c r="AP36" s="48" t="s">
        <v>56</v>
      </c>
      <c r="AQ36" s="48" t="s">
        <v>103</v>
      </c>
      <c r="AR36" s="112"/>
      <c r="AS36" s="106"/>
    </row>
    <row r="37" spans="38:45">
      <c r="AL37" s="243"/>
      <c r="AM37" s="248"/>
      <c r="AN37" s="248"/>
      <c r="AO37" s="248"/>
      <c r="AP37" s="48" t="s">
        <v>57</v>
      </c>
      <c r="AQ37" s="48" t="s">
        <v>104</v>
      </c>
      <c r="AR37" s="112"/>
      <c r="AS37" s="106"/>
    </row>
    <row r="38" spans="38:45">
      <c r="AL38" s="243"/>
      <c r="AM38" s="248"/>
      <c r="AN38" s="248"/>
      <c r="AO38" s="248"/>
      <c r="AP38" s="48" t="s">
        <v>100</v>
      </c>
      <c r="AQ38" s="48" t="s">
        <v>105</v>
      </c>
      <c r="AR38" s="112"/>
      <c r="AS38" s="106"/>
    </row>
    <row r="39" spans="38:45" ht="42.75">
      <c r="AL39" s="243"/>
      <c r="AM39" s="44" t="s">
        <v>69</v>
      </c>
      <c r="AN39" s="44" t="s">
        <v>228</v>
      </c>
      <c r="AO39" s="42" t="s">
        <v>94</v>
      </c>
      <c r="AP39" s="48"/>
      <c r="AQ39" s="48"/>
      <c r="AR39" s="71" t="s">
        <v>293</v>
      </c>
      <c r="AS39" s="108" t="s">
        <v>417</v>
      </c>
    </row>
    <row r="40" spans="38:45">
      <c r="AL40" s="132"/>
      <c r="AM40" s="49" t="s">
        <v>80</v>
      </c>
      <c r="AN40" s="49" t="s">
        <v>229</v>
      </c>
      <c r="AO40" s="50" t="s">
        <v>96</v>
      </c>
      <c r="AP40" s="51"/>
      <c r="AQ40" s="51"/>
      <c r="AR40" s="71" t="s">
        <v>294</v>
      </c>
      <c r="AS40" s="106"/>
    </row>
    <row r="41" spans="38:45" ht="82.9" customHeight="1">
      <c r="AL41" s="247" t="s">
        <v>135</v>
      </c>
      <c r="AM41" s="45" t="s">
        <v>413</v>
      </c>
      <c r="AN41" s="45" t="s">
        <v>162</v>
      </c>
      <c r="AO41" s="46" t="s">
        <v>401</v>
      </c>
      <c r="AP41" s="47"/>
      <c r="AQ41" s="111" t="s">
        <v>429</v>
      </c>
      <c r="AR41" s="56"/>
      <c r="AS41" s="108" t="s">
        <v>418</v>
      </c>
    </row>
    <row r="42" spans="38:45">
      <c r="AL42" s="247"/>
      <c r="AM42" s="45" t="s">
        <v>412</v>
      </c>
      <c r="AN42" s="45" t="s">
        <v>163</v>
      </c>
      <c r="AO42" s="45" t="s">
        <v>161</v>
      </c>
      <c r="AP42" s="47"/>
      <c r="AQ42" s="47"/>
      <c r="AR42" s="56"/>
      <c r="AS42" s="108" t="s">
        <v>419</v>
      </c>
    </row>
    <row r="43" spans="38:45">
      <c r="AL43" s="247"/>
      <c r="AM43" s="49" t="s">
        <v>80</v>
      </c>
      <c r="AN43" s="49" t="s">
        <v>164</v>
      </c>
      <c r="AO43" s="50" t="s">
        <v>96</v>
      </c>
      <c r="AP43" s="51"/>
      <c r="AQ43" s="51"/>
      <c r="AR43" s="56"/>
      <c r="AS43" s="106"/>
    </row>
  </sheetData>
  <mergeCells count="36">
    <mergeCell ref="AR34:AR38"/>
    <mergeCell ref="Z6:AG6"/>
    <mergeCell ref="AO9:AO10"/>
    <mergeCell ref="AO11:AO14"/>
    <mergeCell ref="AO15:AO16"/>
    <mergeCell ref="AN9:AN10"/>
    <mergeCell ref="AN11:AN14"/>
    <mergeCell ref="AN15:AN16"/>
    <mergeCell ref="AO28:AO32"/>
    <mergeCell ref="AN28:AN32"/>
    <mergeCell ref="AM34:AM38"/>
    <mergeCell ref="AN34:AN38"/>
    <mergeCell ref="AO34:AO38"/>
    <mergeCell ref="AL41:AL43"/>
    <mergeCell ref="AM28:AM32"/>
    <mergeCell ref="AM9:AM10"/>
    <mergeCell ref="AM11:AM14"/>
    <mergeCell ref="AM15:AM16"/>
    <mergeCell ref="AL9:AL20"/>
    <mergeCell ref="AL21:AL27"/>
    <mergeCell ref="AL28:AL40"/>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s>
  <phoneticPr fontId="14" type="noConversion"/>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4.25"/>
  <cols>
    <col min="3" max="3" width="12.625" customWidth="1"/>
    <col min="4" max="4" width="10.75" customWidth="1"/>
    <col min="5" max="5" width="36.75" customWidth="1"/>
    <col min="6" max="6" width="255.375" customWidth="1"/>
    <col min="7" max="7" width="6.75" customWidth="1"/>
  </cols>
  <sheetData>
    <row r="3" spans="5:5" ht="51.75" customHeight="1">
      <c r="E3" s="3"/>
    </row>
    <row r="4" spans="5:5" ht="15">
      <c r="E4" s="3"/>
    </row>
    <row r="5" spans="5:5" ht="30" customHeight="1"/>
    <row r="6" spans="5:5" ht="27" customHeight="1"/>
    <row r="7" spans="5:5" ht="32.25" customHeight="1"/>
    <row r="8" spans="5:5" ht="32.25" customHeight="1"/>
  </sheetData>
  <phoneticPr fontId="14"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K5" sqref="K5"/>
    </sheetView>
  </sheetViews>
  <sheetFormatPr defaultRowHeight="14.25"/>
  <cols>
    <col min="3" max="3" width="12.625" customWidth="1"/>
    <col min="4" max="4" width="10.75" customWidth="1"/>
    <col min="5" max="5" width="36.75" customWidth="1"/>
    <col min="6" max="6" width="33" customWidth="1"/>
    <col min="7" max="7" width="17" customWidth="1"/>
    <col min="8" max="8" width="15.25" customWidth="1"/>
    <col min="9" max="9" width="73.75" customWidth="1"/>
  </cols>
  <sheetData>
    <row r="2" spans="5:9" ht="96" customHeight="1">
      <c r="E2" s="3"/>
      <c r="F2" s="251" t="s">
        <v>178</v>
      </c>
      <c r="G2" s="252"/>
      <c r="H2" s="252"/>
      <c r="I2" s="252"/>
    </row>
    <row r="3" spans="5:9" ht="15">
      <c r="E3" s="3"/>
      <c r="F3" s="56"/>
      <c r="G3" s="56" t="s">
        <v>168</v>
      </c>
      <c r="H3" s="56" t="s">
        <v>170</v>
      </c>
      <c r="I3" s="56" t="s">
        <v>171</v>
      </c>
    </row>
    <row r="4" spans="5:9" ht="30" customHeight="1">
      <c r="F4" s="56" t="s">
        <v>166</v>
      </c>
      <c r="G4" s="56" t="s">
        <v>169</v>
      </c>
      <c r="H4" s="56" t="s">
        <v>172</v>
      </c>
      <c r="I4" s="56" t="s">
        <v>173</v>
      </c>
    </row>
    <row r="5" spans="5:9" ht="27" customHeight="1">
      <c r="F5" s="56" t="s">
        <v>167</v>
      </c>
      <c r="G5" s="56" t="s">
        <v>169</v>
      </c>
      <c r="H5" s="56" t="s">
        <v>174</v>
      </c>
      <c r="I5" s="56" t="s">
        <v>176</v>
      </c>
    </row>
    <row r="6" spans="5:9" ht="32.25" customHeight="1">
      <c r="F6" s="56" t="s">
        <v>165</v>
      </c>
      <c r="G6" s="56" t="s">
        <v>169</v>
      </c>
      <c r="H6" s="56" t="s">
        <v>175</v>
      </c>
      <c r="I6" s="56" t="s">
        <v>177</v>
      </c>
    </row>
    <row r="7" spans="5:9" ht="32.25" customHeight="1"/>
  </sheetData>
  <mergeCells count="1">
    <mergeCell ref="F2:I2"/>
  </mergeCells>
  <phoneticPr fontId="14"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20</vt:i4>
      </vt:variant>
    </vt:vector>
  </HeadingPairs>
  <TitlesOfParts>
    <vt:vector size="31" baseType="lpstr">
      <vt:lpstr>Version-control</vt:lpstr>
      <vt:lpstr>Debug</vt:lpstr>
      <vt:lpstr>ICD</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Izkovsky Guy</cp:lastModifiedBy>
  <dcterms:created xsi:type="dcterms:W3CDTF">2015-06-05T18:17:20Z</dcterms:created>
  <dcterms:modified xsi:type="dcterms:W3CDTF">2025-12-23T06:08:15Z</dcterms:modified>
</cp:coreProperties>
</file>