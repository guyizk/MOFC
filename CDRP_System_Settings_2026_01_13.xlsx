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mihai\ELTA\MOFC\CDRP System Settings\"/>
    </mc:Choice>
  </mc:AlternateContent>
  <bookViews>
    <workbookView xWindow="0" yWindow="0" windowWidth="23040" windowHeight="9384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6" i="2" l="1"/>
  <c r="G156" i="2"/>
  <c r="H156" i="2"/>
  <c r="E157" i="2"/>
  <c r="G157" i="2"/>
  <c r="H157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H116" i="2"/>
  <c r="G116" i="2"/>
  <c r="E146" i="2"/>
  <c r="E147" i="2"/>
  <c r="E148" i="2"/>
  <c r="E149" i="2"/>
  <c r="E150" i="2"/>
  <c r="E151" i="2"/>
  <c r="E152" i="2"/>
  <c r="E153" i="2"/>
  <c r="E154" i="2"/>
  <c r="E155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16" i="2"/>
  <c r="E117" i="2"/>
  <c r="E118" i="2"/>
  <c r="E60" i="2"/>
  <c r="G60" i="2"/>
  <c r="H60" i="2"/>
  <c r="E57" i="2"/>
  <c r="G57" i="2"/>
  <c r="H57" i="2"/>
  <c r="E58" i="2"/>
  <c r="G58" i="2"/>
  <c r="H58" i="2"/>
  <c r="E59" i="2"/>
  <c r="G59" i="2"/>
  <c r="H59" i="2"/>
  <c r="E54" i="2"/>
  <c r="G54" i="2"/>
  <c r="H54" i="2"/>
  <c r="E55" i="2"/>
  <c r="G55" i="2"/>
  <c r="H55" i="2"/>
  <c r="E56" i="2"/>
  <c r="G56" i="2"/>
  <c r="H56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23" i="2"/>
  <c r="F11" i="1"/>
</calcChain>
</file>

<file path=xl/comments1.xml><?xml version="1.0" encoding="utf-8"?>
<comments xmlns="http://schemas.openxmlformats.org/spreadsheetml/2006/main">
  <authors>
    <author>Amihai Ben Nun</author>
  </authors>
  <commentList>
    <comment ref="D4" authorId="0" shapeId="0">
      <text>
        <r>
          <rPr>
            <b/>
            <sz val="9"/>
            <color indexed="81"/>
            <rFont val="Tahoma"/>
            <family val="2"/>
          </rPr>
          <t>Amihai Ben Nun:</t>
        </r>
        <r>
          <rPr>
            <sz val="9"/>
            <color indexed="81"/>
            <rFont val="Tahoma"/>
            <family val="2"/>
          </rPr>
          <t xml:space="preserve">
כדאי לוותר על קפיצות של 50 מה"ז ולהסתפק ב-125 מה"ז - קפיצות של 50 לא מסתדרות עם ההצבות הסטנדרטיות שלנו</t>
        </r>
      </text>
    </comment>
    <comment ref="I15" authorId="0" shapeId="0">
      <text>
        <r>
          <rPr>
            <b/>
            <sz val="9"/>
            <color indexed="81"/>
            <rFont val="Tahoma"/>
            <family val="2"/>
          </rPr>
          <t>Amihai Ben Nun:</t>
        </r>
        <r>
          <rPr>
            <sz val="9"/>
            <color indexed="81"/>
            <rFont val="Tahoma"/>
            <family val="2"/>
          </rPr>
          <t xml:space="preserve">
No Spectrum Inverse due to IF1 Conversion</t>
        </r>
      </text>
    </comment>
    <comment ref="J15" authorId="0" shapeId="0">
      <text>
        <r>
          <rPr>
            <b/>
            <sz val="9"/>
            <color indexed="81"/>
            <rFont val="Tahoma"/>
            <family val="2"/>
          </rPr>
          <t>Amihai Ben Nun:</t>
        </r>
        <r>
          <rPr>
            <sz val="9"/>
            <color indexed="81"/>
            <rFont val="Tahoma"/>
            <family val="2"/>
          </rPr>
          <t xml:space="preserve">
No Spectrum Inverse
due to IFout Conversion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Amihai Ben Nun:</t>
        </r>
        <r>
          <rPr>
            <sz val="9"/>
            <color indexed="81"/>
            <rFont val="Tahoma"/>
            <family val="2"/>
          </rPr>
          <t xml:space="preserve">
Spectrum </t>
        </r>
        <r>
          <rPr>
            <b/>
            <u/>
            <sz val="9"/>
            <color indexed="81"/>
            <rFont val="Tahoma"/>
            <family val="2"/>
          </rPr>
          <t>IS</t>
        </r>
        <r>
          <rPr>
            <sz val="9"/>
            <color indexed="81"/>
            <rFont val="Tahoma"/>
            <family val="2"/>
          </rPr>
          <t xml:space="preserve"> inverted due to down conversion</t>
        </r>
      </text>
    </comment>
    <comment ref="I17" authorId="0" shapeId="0">
      <text>
        <r>
          <rPr>
            <b/>
            <sz val="9"/>
            <color indexed="81"/>
            <rFont val="Tahoma"/>
            <family val="2"/>
          </rPr>
          <t>Amihai Ben Nun:</t>
        </r>
        <r>
          <rPr>
            <sz val="9"/>
            <color indexed="81"/>
            <rFont val="Tahoma"/>
            <family val="2"/>
          </rPr>
          <t xml:space="preserve">
No Spectrum Inverse
due to IFout Conversion</t>
        </r>
      </text>
    </comment>
  </commentList>
</comments>
</file>

<file path=xl/sharedStrings.xml><?xml version="1.0" encoding="utf-8"?>
<sst xmlns="http://schemas.openxmlformats.org/spreadsheetml/2006/main" count="255" uniqueCount="70">
  <si>
    <t xml:space="preserve">LO2 = </t>
  </si>
  <si>
    <t>LO1 =</t>
  </si>
  <si>
    <t>MHz</t>
  </si>
  <si>
    <t>Band1</t>
  </si>
  <si>
    <t>Start</t>
  </si>
  <si>
    <t>End</t>
  </si>
  <si>
    <t>Direct Sampling</t>
  </si>
  <si>
    <t>Band2</t>
  </si>
  <si>
    <t>Remarks</t>
  </si>
  <si>
    <t>Direct Sampling
In practicality Direct Sampling only works in 350-2400 &amp; 2750-4750 due to output filters</t>
  </si>
  <si>
    <t>@ 50 / 125 / 2000 MHz Steps</t>
  </si>
  <si>
    <t>Upconversion to 18000-20000MHz , IF1 = LO1 + RF (no spectrum inverse)
then Down to 2750-4750MHz , IF2 = IF1 - LO2 (no spectrum inverse)
e.g:   
for 2000-4000MHz use LO1=16000MHz
for 4000-6000MHz use LO1=14000MHz</t>
  </si>
  <si>
    <t>Band3</t>
  </si>
  <si>
    <t>Single Down Conversion to 2750-4750:
from 6000-14000MHz it is:  IF = LO1 - RF (with Spectrum Inverse)
from 14000-18000MHz it is:  IF = RF - LO1 (no Spectrum Inverse)
e.g:
for 6000-8000MHz use LO1=10750
for 8000-10000MHz use LO1=12750
for 10000-12000MHz use LO1=14750
for 12000-14000MHz use LO1=16750
for 14000-16000MHz use LO1=11250
for 16000-18000MHz use LO1=13250</t>
  </si>
  <si>
    <t>Nominal Bands</t>
  </si>
  <si>
    <t>Start Freq [MHz]</t>
  </si>
  <si>
    <t>End Freq [MHz]</t>
  </si>
  <si>
    <t>Actual Bands</t>
  </si>
  <si>
    <t>Band ID</t>
  </si>
  <si>
    <t xml:space="preserve">Fs = </t>
  </si>
  <si>
    <t>Band4</t>
  </si>
  <si>
    <t>Band5</t>
  </si>
  <si>
    <t>Double Conversion</t>
  </si>
  <si>
    <t>Single Conversion</t>
  </si>
  <si>
    <t>LO1 Conversion</t>
  </si>
  <si>
    <t>LO2 Conversion</t>
  </si>
  <si>
    <t>OFF</t>
  </si>
  <si>
    <t>-</t>
  </si>
  <si>
    <t>IF1 = LO1 + RF</t>
  </si>
  <si>
    <t>IFout = IF1 - LO2</t>
  </si>
  <si>
    <t>10000-16750</t>
  </si>
  <si>
    <t>LO1 [MHz] =</t>
  </si>
  <si>
    <t>IF1 [MHz] =</t>
  </si>
  <si>
    <t>IF2 [MHz] =</t>
  </si>
  <si>
    <t>Fs [MHz] =</t>
  </si>
  <si>
    <t>@ 50/125MHz Steps or fixed 2GHz MDRP Filters</t>
  </si>
  <si>
    <t>LO2 [MHz] =</t>
  </si>
  <si>
    <t>Parameter</t>
  </si>
  <si>
    <t>Value</t>
  </si>
  <si>
    <t>LO1 Setting</t>
  </si>
  <si>
    <t>LO1 = IF1 - CRF</t>
  </si>
  <si>
    <t>LO1 = IF2 + CRF</t>
  </si>
  <si>
    <t>IF2 = LO1 - RF</t>
  </si>
  <si>
    <t>IF2 = RF - LO1</t>
  </si>
  <si>
    <t>LO1 = CRF - IF2</t>
  </si>
  <si>
    <t>LO2 Setting</t>
  </si>
  <si>
    <t>ON</t>
  </si>
  <si>
    <t>Filter ID</t>
  </si>
  <si>
    <t>CRF</t>
  </si>
  <si>
    <t>LO1</t>
  </si>
  <si>
    <t>LO2</t>
  </si>
  <si>
    <t>Start RF [MHz]</t>
  </si>
  <si>
    <t>End RF [MHz]</t>
  </si>
  <si>
    <t>Nominal Band3</t>
  </si>
  <si>
    <t>Nominal Band2</t>
  </si>
  <si>
    <t>Nominal Band1</t>
  </si>
  <si>
    <t>Yes</t>
  </si>
  <si>
    <t>No</t>
  </si>
  <si>
    <t>Total Spectrum Inverse</t>
  </si>
  <si>
    <t>RF Spectum Inverse</t>
  </si>
  <si>
    <t>ADC Spectrum Inverse</t>
  </si>
  <si>
    <t>N.A</t>
  </si>
  <si>
    <t>MDRP 2-6</t>
  </si>
  <si>
    <t>MDRP 6-10</t>
  </si>
  <si>
    <t>MDRP 10-14</t>
  </si>
  <si>
    <t>MDRP 14-18</t>
  </si>
  <si>
    <t>MDRP 2-6 &amp; 2.5-4 &amp; S (of S&amp;X)</t>
  </si>
  <si>
    <t>MDRP 6-10 &amp; 8.5-10 &amp; X (of S&amp;X)</t>
  </si>
  <si>
    <t>MDRP 0.5-0.96 &amp; 0.96-1.5 &amp; 1.5-2 &amp; 0.5-2</t>
  </si>
  <si>
    <t>MDRP S (of S&amp;X) - Option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</si>
</sst>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9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/>
    <xf numFmtId="0" fontId="0" fillId="0" borderId="1" xfId="0" applyFill="1" applyBorder="1"/>
    <xf numFmtId="0" fontId="0" fillId="0" borderId="1" xfId="0" quotePrefix="1" applyBorder="1"/>
    <xf numFmtId="0" fontId="0" fillId="0" borderId="1" xfId="0" quotePrefix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7" fillId="3" borderId="1" xfId="2" applyFont="1" applyBorder="1"/>
    <xf numFmtId="0" fontId="7" fillId="3" borderId="2" xfId="2" applyFont="1" applyBorder="1"/>
    <xf numFmtId="0" fontId="8" fillId="4" borderId="1" xfId="3" applyFont="1" applyBorder="1"/>
    <xf numFmtId="0" fontId="3" fillId="0" borderId="1" xfId="0" applyFont="1" applyBorder="1"/>
    <xf numFmtId="0" fontId="0" fillId="0" borderId="0" xfId="0" applyFill="1"/>
    <xf numFmtId="0" fontId="2" fillId="0" borderId="0" xfId="1" applyFill="1"/>
    <xf numFmtId="0" fontId="2" fillId="2" borderId="1" xfId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2" fillId="2" borderId="11" xfId="1" applyBorder="1"/>
    <xf numFmtId="0" fontId="0" fillId="0" borderId="13" xfId="0" applyBorder="1"/>
    <xf numFmtId="0" fontId="0" fillId="0" borderId="14" xfId="0" applyBorder="1"/>
    <xf numFmtId="0" fontId="0" fillId="0" borderId="8" xfId="0" applyFill="1" applyBorder="1"/>
    <xf numFmtId="0" fontId="0" fillId="0" borderId="9" xfId="0" applyFill="1" applyBorder="1"/>
    <xf numFmtId="0" fontId="0" fillId="0" borderId="11" xfId="0" applyFill="1" applyBorder="1"/>
    <xf numFmtId="0" fontId="0" fillId="0" borderId="13" xfId="0" applyFill="1" applyBorder="1"/>
    <xf numFmtId="0" fontId="0" fillId="0" borderId="14" xfId="0" applyFill="1" applyBorder="1"/>
    <xf numFmtId="0" fontId="7" fillId="3" borderId="19" xfId="2" applyFont="1" applyBorder="1"/>
    <xf numFmtId="0" fontId="7" fillId="3" borderId="20" xfId="2" applyFont="1" applyBorder="1"/>
    <xf numFmtId="0" fontId="7" fillId="3" borderId="21" xfId="2" applyFont="1" applyBorder="1"/>
    <xf numFmtId="0" fontId="0" fillId="0" borderId="6" xfId="0" applyFill="1" applyBorder="1"/>
    <xf numFmtId="0" fontId="0" fillId="0" borderId="0" xfId="0" applyBorder="1"/>
    <xf numFmtId="0" fontId="0" fillId="0" borderId="0" xfId="0" applyFill="1" applyBorder="1"/>
    <xf numFmtId="0" fontId="2" fillId="2" borderId="6" xfId="1" applyBorder="1"/>
    <xf numFmtId="0" fontId="2" fillId="2" borderId="18" xfId="1" applyBorder="1"/>
    <xf numFmtId="0" fontId="3" fillId="0" borderId="1" xfId="0" applyFont="1" applyFill="1" applyBorder="1"/>
    <xf numFmtId="0" fontId="8" fillId="0" borderId="15" xfId="2" applyFont="1" applyFill="1" applyBorder="1" applyAlignment="1">
      <alignment horizontal="center" vertical="center"/>
    </xf>
    <xf numFmtId="0" fontId="8" fillId="0" borderId="22" xfId="2" applyFont="1" applyFill="1" applyBorder="1"/>
    <xf numFmtId="0" fontId="8" fillId="0" borderId="23" xfId="2" applyFont="1" applyFill="1" applyBorder="1"/>
    <xf numFmtId="0" fontId="8" fillId="0" borderId="22" xfId="2" applyFont="1" applyFill="1" applyBorder="1" applyAlignment="1">
      <alignment horizontal="right" vertical="center"/>
    </xf>
    <xf numFmtId="0" fontId="8" fillId="0" borderId="22" xfId="2" applyFont="1" applyFill="1" applyBorder="1" applyAlignment="1">
      <alignment horizontal="right"/>
    </xf>
    <xf numFmtId="0" fontId="9" fillId="0" borderId="0" xfId="1" applyFont="1" applyFill="1"/>
    <xf numFmtId="0" fontId="2" fillId="2" borderId="22" xfId="1" applyBorder="1"/>
    <xf numFmtId="0" fontId="2" fillId="2" borderId="23" xfId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4" borderId="3" xfId="3" applyFont="1" applyBorder="1" applyAlignment="1">
      <alignment horizontal="center"/>
    </xf>
    <xf numFmtId="0" fontId="8" fillId="4" borderId="4" xfId="3" applyFont="1" applyBorder="1" applyAlignment="1">
      <alignment horizontal="center"/>
    </xf>
    <xf numFmtId="0" fontId="8" fillId="4" borderId="5" xfId="3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7" fillId="3" borderId="1" xfId="2" applyFont="1" applyBorder="1" applyAlignment="1">
      <alignment horizontal="center"/>
    </xf>
  </cellXfs>
  <cellStyles count="4">
    <cellStyle name="20% - Accent1" xfId="2" builtinId="30"/>
    <cellStyle name="20% - Accent2" xfId="3" builtinId="34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topLeftCell="A2" workbookViewId="0">
      <selection activeCell="B2" sqref="B2:F4"/>
    </sheetView>
  </sheetViews>
  <sheetFormatPr defaultRowHeight="14.4" x14ac:dyDescent="0.3"/>
  <cols>
    <col min="6" max="6" width="77.109375" customWidth="1"/>
  </cols>
  <sheetData>
    <row r="2" spans="2:6" x14ac:dyDescent="0.3">
      <c r="B2" t="s">
        <v>1</v>
      </c>
      <c r="C2">
        <v>10000</v>
      </c>
      <c r="D2">
        <v>16750</v>
      </c>
      <c r="E2" t="s">
        <v>2</v>
      </c>
      <c r="F2" s="2" t="s">
        <v>10</v>
      </c>
    </row>
    <row r="3" spans="2:6" x14ac:dyDescent="0.3">
      <c r="B3" t="s">
        <v>0</v>
      </c>
      <c r="C3">
        <v>15250</v>
      </c>
      <c r="E3" t="s">
        <v>2</v>
      </c>
    </row>
    <row r="4" spans="2:6" x14ac:dyDescent="0.3">
      <c r="B4" t="s">
        <v>19</v>
      </c>
      <c r="C4">
        <v>5000</v>
      </c>
      <c r="E4" t="s">
        <v>2</v>
      </c>
    </row>
    <row r="6" spans="2:6" x14ac:dyDescent="0.3">
      <c r="C6" t="s">
        <v>4</v>
      </c>
      <c r="D6" t="s">
        <v>5</v>
      </c>
      <c r="F6" t="s">
        <v>8</v>
      </c>
    </row>
    <row r="7" spans="2:6" ht="28.8" x14ac:dyDescent="0.3">
      <c r="B7" t="s">
        <v>3</v>
      </c>
      <c r="C7">
        <v>35</v>
      </c>
      <c r="D7">
        <v>4750</v>
      </c>
      <c r="E7" t="s">
        <v>2</v>
      </c>
      <c r="F7" s="1" t="s">
        <v>9</v>
      </c>
    </row>
    <row r="8" spans="2:6" ht="72" x14ac:dyDescent="0.3">
      <c r="B8" t="s">
        <v>7</v>
      </c>
      <c r="C8">
        <v>2000</v>
      </c>
      <c r="D8">
        <v>6000</v>
      </c>
      <c r="E8" t="s">
        <v>2</v>
      </c>
      <c r="F8" s="1" t="s">
        <v>11</v>
      </c>
    </row>
    <row r="9" spans="2:6" ht="144" x14ac:dyDescent="0.3">
      <c r="B9" t="s">
        <v>12</v>
      </c>
      <c r="C9">
        <v>6000</v>
      </c>
      <c r="D9">
        <v>18000</v>
      </c>
      <c r="E9" t="s">
        <v>2</v>
      </c>
      <c r="F9" s="1" t="s">
        <v>13</v>
      </c>
    </row>
    <row r="11" spans="2:6" x14ac:dyDescent="0.3">
      <c r="F11">
        <f>17000-3750</f>
        <v>13250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O159"/>
  <sheetViews>
    <sheetView tabSelected="1" topLeftCell="B3" workbookViewId="0">
      <selection activeCell="N18" sqref="N18"/>
    </sheetView>
  </sheetViews>
  <sheetFormatPr defaultRowHeight="14.4" x14ac:dyDescent="0.3"/>
  <cols>
    <col min="2" max="2" width="13.33203125" bestFit="1" customWidth="1"/>
    <col min="3" max="3" width="14.44140625" bestFit="1" customWidth="1"/>
    <col min="4" max="4" width="13.5546875" bestFit="1" customWidth="1"/>
    <col min="6" max="6" width="14.44140625" bestFit="1" customWidth="1"/>
    <col min="7" max="7" width="13.5546875" bestFit="1" customWidth="1"/>
    <col min="8" max="8" width="16" customWidth="1"/>
    <col min="9" max="10" width="13.88671875" bestFit="1" customWidth="1"/>
    <col min="11" max="11" width="13.33203125" bestFit="1" customWidth="1"/>
    <col min="12" max="12" width="13.6640625" bestFit="1" customWidth="1"/>
    <col min="13" max="13" width="16.88671875" bestFit="1" customWidth="1"/>
    <col min="14" max="14" width="19.109375" bestFit="1" customWidth="1"/>
    <col min="15" max="15" width="20.5546875" bestFit="1" customWidth="1"/>
  </cols>
  <sheetData>
    <row r="3" spans="2:15" x14ac:dyDescent="0.3">
      <c r="B3" s="12" t="s">
        <v>37</v>
      </c>
      <c r="C3" s="12" t="s">
        <v>38</v>
      </c>
    </row>
    <row r="4" spans="2:15" x14ac:dyDescent="0.3">
      <c r="B4" s="10" t="s">
        <v>31</v>
      </c>
      <c r="C4" s="8" t="s">
        <v>30</v>
      </c>
      <c r="D4" s="2" t="s">
        <v>35</v>
      </c>
    </row>
    <row r="5" spans="2:15" x14ac:dyDescent="0.3">
      <c r="B5" s="10" t="s">
        <v>36</v>
      </c>
      <c r="C5" s="11">
        <v>15250</v>
      </c>
    </row>
    <row r="6" spans="2:15" x14ac:dyDescent="0.3">
      <c r="B6" s="10" t="s">
        <v>32</v>
      </c>
      <c r="C6" s="11">
        <v>19000</v>
      </c>
    </row>
    <row r="7" spans="2:15" x14ac:dyDescent="0.3">
      <c r="B7" s="10" t="s">
        <v>33</v>
      </c>
      <c r="C7" s="11">
        <v>3750</v>
      </c>
    </row>
    <row r="8" spans="2:15" x14ac:dyDescent="0.3">
      <c r="B8" s="10" t="s">
        <v>34</v>
      </c>
      <c r="C8" s="11">
        <v>5000</v>
      </c>
    </row>
    <row r="11" spans="2:15" x14ac:dyDescent="0.3">
      <c r="B11" s="53" t="s">
        <v>14</v>
      </c>
      <c r="C11" s="54"/>
      <c r="D11" s="55"/>
      <c r="E11" s="58" t="s">
        <v>17</v>
      </c>
      <c r="F11" s="58"/>
      <c r="G11" s="58"/>
      <c r="H11" s="58"/>
    </row>
    <row r="12" spans="2:15" x14ac:dyDescent="0.3">
      <c r="B12" s="14" t="s">
        <v>18</v>
      </c>
      <c r="C12" s="14" t="s">
        <v>15</v>
      </c>
      <c r="D12" s="14" t="s">
        <v>16</v>
      </c>
      <c r="E12" s="13" t="s">
        <v>18</v>
      </c>
      <c r="F12" s="13" t="s">
        <v>15</v>
      </c>
      <c r="G12" s="13" t="s">
        <v>16</v>
      </c>
      <c r="H12" s="12" t="s">
        <v>8</v>
      </c>
      <c r="I12" s="14" t="s">
        <v>24</v>
      </c>
      <c r="J12" s="14" t="s">
        <v>25</v>
      </c>
      <c r="K12" s="12" t="s">
        <v>39</v>
      </c>
      <c r="L12" s="12" t="s">
        <v>45</v>
      </c>
      <c r="M12" s="14" t="s">
        <v>59</v>
      </c>
      <c r="N12" s="14" t="s">
        <v>60</v>
      </c>
      <c r="O12" s="12" t="s">
        <v>58</v>
      </c>
    </row>
    <row r="13" spans="2:15" x14ac:dyDescent="0.3">
      <c r="B13" s="56" t="s">
        <v>55</v>
      </c>
      <c r="C13" s="57">
        <v>350</v>
      </c>
      <c r="D13" s="57">
        <v>4750</v>
      </c>
      <c r="E13" s="3" t="s">
        <v>3</v>
      </c>
      <c r="F13" s="3">
        <v>350</v>
      </c>
      <c r="G13" s="3">
        <v>2400</v>
      </c>
      <c r="H13" s="3" t="s">
        <v>6</v>
      </c>
      <c r="I13" s="8" t="s">
        <v>27</v>
      </c>
      <c r="J13" s="8" t="s">
        <v>27</v>
      </c>
      <c r="K13" s="3" t="s">
        <v>26</v>
      </c>
      <c r="L13" s="3" t="s">
        <v>26</v>
      </c>
      <c r="M13" s="7" t="s">
        <v>57</v>
      </c>
      <c r="N13" s="7" t="s">
        <v>57</v>
      </c>
      <c r="O13" s="7" t="s">
        <v>57</v>
      </c>
    </row>
    <row r="14" spans="2:15" x14ac:dyDescent="0.3">
      <c r="B14" s="56"/>
      <c r="C14" s="57"/>
      <c r="D14" s="57"/>
      <c r="E14" s="3" t="s">
        <v>7</v>
      </c>
      <c r="F14" s="3">
        <v>2750</v>
      </c>
      <c r="G14" s="3">
        <v>4750</v>
      </c>
      <c r="H14" s="3" t="s">
        <v>6</v>
      </c>
      <c r="I14" s="8" t="s">
        <v>27</v>
      </c>
      <c r="J14" s="9" t="s">
        <v>27</v>
      </c>
      <c r="K14" s="3" t="s">
        <v>26</v>
      </c>
      <c r="L14" s="3" t="s">
        <v>26</v>
      </c>
      <c r="M14" s="7" t="s">
        <v>57</v>
      </c>
      <c r="N14" s="15" t="s">
        <v>56</v>
      </c>
      <c r="O14" s="15" t="s">
        <v>56</v>
      </c>
    </row>
    <row r="15" spans="2:15" x14ac:dyDescent="0.3">
      <c r="B15" s="4" t="s">
        <v>54</v>
      </c>
      <c r="C15" s="5">
        <v>2000</v>
      </c>
      <c r="D15" s="5">
        <v>6000</v>
      </c>
      <c r="E15" s="3" t="s">
        <v>12</v>
      </c>
      <c r="F15" s="3">
        <v>2000</v>
      </c>
      <c r="G15" s="3">
        <v>6000</v>
      </c>
      <c r="H15" s="3" t="s">
        <v>22</v>
      </c>
      <c r="I15" s="3" t="s">
        <v>28</v>
      </c>
      <c r="J15" s="3" t="s">
        <v>29</v>
      </c>
      <c r="K15" s="7" t="s">
        <v>40</v>
      </c>
      <c r="L15" s="7" t="s">
        <v>46</v>
      </c>
      <c r="M15" s="7" t="s">
        <v>57</v>
      </c>
      <c r="N15" s="15" t="s">
        <v>56</v>
      </c>
      <c r="O15" s="15" t="s">
        <v>56</v>
      </c>
    </row>
    <row r="16" spans="2:15" x14ac:dyDescent="0.3">
      <c r="B16" s="56" t="s">
        <v>53</v>
      </c>
      <c r="C16" s="57">
        <v>6000</v>
      </c>
      <c r="D16" s="57">
        <v>18000</v>
      </c>
      <c r="E16" s="3" t="s">
        <v>20</v>
      </c>
      <c r="F16" s="3">
        <v>6000</v>
      </c>
      <c r="G16" s="3">
        <v>14000</v>
      </c>
      <c r="H16" s="3" t="s">
        <v>23</v>
      </c>
      <c r="I16" s="3" t="s">
        <v>42</v>
      </c>
      <c r="J16" s="9" t="s">
        <v>27</v>
      </c>
      <c r="K16" s="7" t="s">
        <v>41</v>
      </c>
      <c r="L16" s="3" t="s">
        <v>26</v>
      </c>
      <c r="M16" s="38" t="s">
        <v>56</v>
      </c>
      <c r="N16" s="15" t="s">
        <v>56</v>
      </c>
      <c r="O16" s="7" t="s">
        <v>57</v>
      </c>
    </row>
    <row r="17" spans="2:15" x14ac:dyDescent="0.3">
      <c r="B17" s="56"/>
      <c r="C17" s="57"/>
      <c r="D17" s="57"/>
      <c r="E17" s="3" t="s">
        <v>21</v>
      </c>
      <c r="F17" s="3">
        <v>14000</v>
      </c>
      <c r="G17" s="3">
        <v>18000</v>
      </c>
      <c r="H17" s="3" t="s">
        <v>23</v>
      </c>
      <c r="I17" s="3" t="s">
        <v>43</v>
      </c>
      <c r="J17" s="9" t="s">
        <v>27</v>
      </c>
      <c r="K17" s="3" t="s">
        <v>44</v>
      </c>
      <c r="L17" s="3" t="s">
        <v>26</v>
      </c>
      <c r="M17" s="7" t="s">
        <v>57</v>
      </c>
      <c r="N17" s="15" t="s">
        <v>56</v>
      </c>
      <c r="O17" s="15" t="s">
        <v>56</v>
      </c>
    </row>
    <row r="19" spans="2:15" ht="15" thickBot="1" x14ac:dyDescent="0.35"/>
    <row r="20" spans="2:15" ht="15" thickBot="1" x14ac:dyDescent="0.35">
      <c r="B20" s="30" t="s">
        <v>18</v>
      </c>
      <c r="C20" s="31" t="s">
        <v>47</v>
      </c>
      <c r="D20" s="31" t="s">
        <v>48</v>
      </c>
      <c r="E20" s="31" t="s">
        <v>49</v>
      </c>
      <c r="F20" s="31" t="s">
        <v>50</v>
      </c>
      <c r="G20" s="31" t="s">
        <v>51</v>
      </c>
      <c r="H20" s="32" t="s">
        <v>52</v>
      </c>
    </row>
    <row r="21" spans="2:15" ht="15" thickBot="1" x14ac:dyDescent="0.35">
      <c r="B21" s="39" t="s">
        <v>3</v>
      </c>
      <c r="C21" s="40">
        <v>1</v>
      </c>
      <c r="D21" s="42" t="s">
        <v>61</v>
      </c>
      <c r="E21" s="43" t="s">
        <v>26</v>
      </c>
      <c r="F21" s="40" t="s">
        <v>26</v>
      </c>
      <c r="G21" s="45">
        <v>350</v>
      </c>
      <c r="H21" s="46">
        <v>2400</v>
      </c>
      <c r="I21" s="44" t="s">
        <v>68</v>
      </c>
    </row>
    <row r="22" spans="2:15" ht="15" thickBot="1" x14ac:dyDescent="0.35">
      <c r="B22" s="39" t="s">
        <v>7</v>
      </c>
      <c r="C22" s="40">
        <v>2</v>
      </c>
      <c r="D22" s="42" t="s">
        <v>61</v>
      </c>
      <c r="E22" s="43" t="s">
        <v>26</v>
      </c>
      <c r="F22" s="40" t="s">
        <v>26</v>
      </c>
      <c r="G22" s="40">
        <v>2750</v>
      </c>
      <c r="H22" s="41">
        <v>4750</v>
      </c>
      <c r="I22" s="44" t="s">
        <v>69</v>
      </c>
    </row>
    <row r="23" spans="2:15" x14ac:dyDescent="0.3">
      <c r="B23" s="49" t="s">
        <v>12</v>
      </c>
      <c r="C23" s="19">
        <v>3</v>
      </c>
      <c r="D23" s="19">
        <v>2250</v>
      </c>
      <c r="E23" s="19">
        <f>$C$6-D23</f>
        <v>16750</v>
      </c>
      <c r="F23" s="19" t="s">
        <v>46</v>
      </c>
      <c r="G23" s="19">
        <f>MAX(2000,D23-1000)</f>
        <v>2000</v>
      </c>
      <c r="H23" s="20">
        <f>MIN(6000,D23+1000)</f>
        <v>3250</v>
      </c>
    </row>
    <row r="24" spans="2:15" x14ac:dyDescent="0.3">
      <c r="B24" s="50"/>
      <c r="C24" s="3">
        <v>4</v>
      </c>
      <c r="D24" s="3">
        <v>2375</v>
      </c>
      <c r="E24" s="3">
        <f t="shared" ref="E24:E60" si="0">$C$6-D24</f>
        <v>16625</v>
      </c>
      <c r="F24" s="3" t="s">
        <v>46</v>
      </c>
      <c r="G24" s="3">
        <f t="shared" ref="G24:G53" si="1">MAX(2000,D24-1000)</f>
        <v>2000</v>
      </c>
      <c r="H24" s="21">
        <f t="shared" ref="H24:H53" si="2">MIN(6000,D24+1000)</f>
        <v>3375</v>
      </c>
    </row>
    <row r="25" spans="2:15" x14ac:dyDescent="0.3">
      <c r="B25" s="50"/>
      <c r="C25" s="3">
        <v>5</v>
      </c>
      <c r="D25" s="3">
        <v>2500</v>
      </c>
      <c r="E25" s="3">
        <f t="shared" si="0"/>
        <v>16500</v>
      </c>
      <c r="F25" s="3" t="s">
        <v>46</v>
      </c>
      <c r="G25" s="3">
        <f t="shared" si="1"/>
        <v>2000</v>
      </c>
      <c r="H25" s="21">
        <f t="shared" si="2"/>
        <v>3500</v>
      </c>
    </row>
    <row r="26" spans="2:15" x14ac:dyDescent="0.3">
      <c r="B26" s="50"/>
      <c r="C26" s="3">
        <v>6</v>
      </c>
      <c r="D26" s="3">
        <v>2625</v>
      </c>
      <c r="E26" s="3">
        <f t="shared" si="0"/>
        <v>16375</v>
      </c>
      <c r="F26" s="3" t="s">
        <v>46</v>
      </c>
      <c r="G26" s="3">
        <f t="shared" si="1"/>
        <v>2000</v>
      </c>
      <c r="H26" s="21">
        <f t="shared" si="2"/>
        <v>3625</v>
      </c>
      <c r="I26" s="16"/>
      <c r="J26" s="16"/>
      <c r="K26" s="16"/>
    </row>
    <row r="27" spans="2:15" x14ac:dyDescent="0.3">
      <c r="B27" s="50"/>
      <c r="C27" s="3">
        <v>7</v>
      </c>
      <c r="D27" s="3">
        <v>2750</v>
      </c>
      <c r="E27" s="3">
        <f t="shared" si="0"/>
        <v>16250</v>
      </c>
      <c r="F27" s="3" t="s">
        <v>46</v>
      </c>
      <c r="G27" s="3">
        <f t="shared" si="1"/>
        <v>2000</v>
      </c>
      <c r="H27" s="21">
        <f t="shared" si="2"/>
        <v>3750</v>
      </c>
      <c r="I27" s="16"/>
      <c r="J27" s="16"/>
      <c r="K27" s="16"/>
    </row>
    <row r="28" spans="2:15" x14ac:dyDescent="0.3">
      <c r="B28" s="50"/>
      <c r="C28" s="3">
        <v>8</v>
      </c>
      <c r="D28" s="3">
        <v>2875</v>
      </c>
      <c r="E28" s="3">
        <f t="shared" si="0"/>
        <v>16125</v>
      </c>
      <c r="F28" s="3" t="s">
        <v>46</v>
      </c>
      <c r="G28" s="3">
        <f t="shared" si="1"/>
        <v>2000</v>
      </c>
      <c r="H28" s="21">
        <f t="shared" si="2"/>
        <v>3875</v>
      </c>
      <c r="I28" s="16"/>
      <c r="J28" s="16"/>
      <c r="K28" s="16"/>
    </row>
    <row r="29" spans="2:15" x14ac:dyDescent="0.3">
      <c r="B29" s="50"/>
      <c r="C29" s="3">
        <v>9</v>
      </c>
      <c r="D29" s="18">
        <v>3000</v>
      </c>
      <c r="E29" s="18">
        <f t="shared" si="0"/>
        <v>16000</v>
      </c>
      <c r="F29" s="3" t="s">
        <v>46</v>
      </c>
      <c r="G29" s="18">
        <f t="shared" si="1"/>
        <v>2000</v>
      </c>
      <c r="H29" s="22">
        <f t="shared" si="2"/>
        <v>4000</v>
      </c>
      <c r="I29" s="44" t="s">
        <v>66</v>
      </c>
      <c r="J29" s="17"/>
      <c r="K29" s="16"/>
    </row>
    <row r="30" spans="2:15" x14ac:dyDescent="0.3">
      <c r="B30" s="50"/>
      <c r="C30" s="3">
        <v>10</v>
      </c>
      <c r="D30" s="3">
        <v>3125</v>
      </c>
      <c r="E30" s="3">
        <f t="shared" si="0"/>
        <v>15875</v>
      </c>
      <c r="F30" s="3" t="s">
        <v>46</v>
      </c>
      <c r="G30" s="3">
        <f t="shared" si="1"/>
        <v>2125</v>
      </c>
      <c r="H30" s="21">
        <f t="shared" si="2"/>
        <v>4125</v>
      </c>
      <c r="I30" s="16"/>
      <c r="J30" s="16"/>
      <c r="K30" s="16"/>
    </row>
    <row r="31" spans="2:15" x14ac:dyDescent="0.3">
      <c r="B31" s="50"/>
      <c r="C31" s="3">
        <v>11</v>
      </c>
      <c r="D31" s="3">
        <v>3250</v>
      </c>
      <c r="E31" s="3">
        <f t="shared" si="0"/>
        <v>15750</v>
      </c>
      <c r="F31" s="3" t="s">
        <v>46</v>
      </c>
      <c r="G31" s="3">
        <f t="shared" si="1"/>
        <v>2250</v>
      </c>
      <c r="H31" s="21">
        <f t="shared" si="2"/>
        <v>4250</v>
      </c>
      <c r="I31" s="16"/>
      <c r="J31" s="16"/>
      <c r="K31" s="16"/>
    </row>
    <row r="32" spans="2:15" x14ac:dyDescent="0.3">
      <c r="B32" s="50"/>
      <c r="C32" s="3">
        <v>12</v>
      </c>
      <c r="D32" s="3">
        <v>3375</v>
      </c>
      <c r="E32" s="3">
        <f t="shared" si="0"/>
        <v>15625</v>
      </c>
      <c r="F32" s="3" t="s">
        <v>46</v>
      </c>
      <c r="G32" s="3">
        <f t="shared" si="1"/>
        <v>2375</v>
      </c>
      <c r="H32" s="21">
        <f t="shared" si="2"/>
        <v>4375</v>
      </c>
      <c r="I32" s="16"/>
      <c r="J32" s="16"/>
      <c r="K32" s="16"/>
    </row>
    <row r="33" spans="2:11" x14ac:dyDescent="0.3">
      <c r="B33" s="50"/>
      <c r="C33" s="3">
        <v>13</v>
      </c>
      <c r="D33" s="3">
        <v>3500</v>
      </c>
      <c r="E33" s="3">
        <f t="shared" si="0"/>
        <v>15500</v>
      </c>
      <c r="F33" s="3" t="s">
        <v>46</v>
      </c>
      <c r="G33" s="3">
        <f t="shared" si="1"/>
        <v>2500</v>
      </c>
      <c r="H33" s="21">
        <f t="shared" si="2"/>
        <v>4500</v>
      </c>
      <c r="I33" s="16"/>
      <c r="J33" s="16"/>
      <c r="K33" s="16"/>
    </row>
    <row r="34" spans="2:11" x14ac:dyDescent="0.3">
      <c r="B34" s="50"/>
      <c r="C34" s="3">
        <v>14</v>
      </c>
      <c r="D34" s="3">
        <v>3625</v>
      </c>
      <c r="E34" s="3">
        <f t="shared" si="0"/>
        <v>15375</v>
      </c>
      <c r="F34" s="3" t="s">
        <v>46</v>
      </c>
      <c r="G34" s="3">
        <f t="shared" si="1"/>
        <v>2625</v>
      </c>
      <c r="H34" s="21">
        <f t="shared" si="2"/>
        <v>4625</v>
      </c>
      <c r="I34" s="16"/>
      <c r="J34" s="16"/>
      <c r="K34" s="16"/>
    </row>
    <row r="35" spans="2:11" x14ac:dyDescent="0.3">
      <c r="B35" s="50"/>
      <c r="C35" s="3">
        <v>15</v>
      </c>
      <c r="D35" s="3">
        <v>3750</v>
      </c>
      <c r="E35" s="3">
        <f t="shared" si="0"/>
        <v>15250</v>
      </c>
      <c r="F35" s="3" t="s">
        <v>46</v>
      </c>
      <c r="G35" s="3">
        <f t="shared" si="1"/>
        <v>2750</v>
      </c>
      <c r="H35" s="21">
        <f t="shared" si="2"/>
        <v>4750</v>
      </c>
      <c r="I35" s="16"/>
      <c r="J35" s="16"/>
      <c r="K35" s="16"/>
    </row>
    <row r="36" spans="2:11" x14ac:dyDescent="0.3">
      <c r="B36" s="50"/>
      <c r="C36" s="3">
        <v>16</v>
      </c>
      <c r="D36" s="3">
        <v>3875</v>
      </c>
      <c r="E36" s="3">
        <f t="shared" si="0"/>
        <v>15125</v>
      </c>
      <c r="F36" s="3" t="s">
        <v>46</v>
      </c>
      <c r="G36" s="3">
        <f t="shared" si="1"/>
        <v>2875</v>
      </c>
      <c r="H36" s="21">
        <f t="shared" si="2"/>
        <v>4875</v>
      </c>
      <c r="I36" s="16"/>
      <c r="J36" s="16"/>
      <c r="K36" s="16"/>
    </row>
    <row r="37" spans="2:11" x14ac:dyDescent="0.3">
      <c r="B37" s="50"/>
      <c r="C37" s="3">
        <v>17</v>
      </c>
      <c r="D37" s="3">
        <v>4000</v>
      </c>
      <c r="E37" s="3">
        <f t="shared" si="0"/>
        <v>15000</v>
      </c>
      <c r="F37" s="3" t="s">
        <v>46</v>
      </c>
      <c r="G37" s="3">
        <f t="shared" si="1"/>
        <v>3000</v>
      </c>
      <c r="H37" s="21">
        <f t="shared" si="2"/>
        <v>5000</v>
      </c>
      <c r="I37" s="16"/>
      <c r="J37" s="16"/>
      <c r="K37" s="16"/>
    </row>
    <row r="38" spans="2:11" x14ac:dyDescent="0.3">
      <c r="B38" s="50"/>
      <c r="C38" s="3">
        <v>18</v>
      </c>
      <c r="D38" s="3">
        <v>4125</v>
      </c>
      <c r="E38" s="3">
        <f t="shared" si="0"/>
        <v>14875</v>
      </c>
      <c r="F38" s="3" t="s">
        <v>46</v>
      </c>
      <c r="G38" s="3">
        <f t="shared" si="1"/>
        <v>3125</v>
      </c>
      <c r="H38" s="21">
        <f t="shared" si="2"/>
        <v>5125</v>
      </c>
      <c r="I38" s="16"/>
      <c r="J38" s="16"/>
      <c r="K38" s="16"/>
    </row>
    <row r="39" spans="2:11" x14ac:dyDescent="0.3">
      <c r="B39" s="50"/>
      <c r="C39" s="3">
        <v>19</v>
      </c>
      <c r="D39" s="3">
        <v>4250</v>
      </c>
      <c r="E39" s="3">
        <f t="shared" si="0"/>
        <v>14750</v>
      </c>
      <c r="F39" s="3" t="s">
        <v>46</v>
      </c>
      <c r="G39" s="3">
        <f t="shared" si="1"/>
        <v>3250</v>
      </c>
      <c r="H39" s="21">
        <f t="shared" si="2"/>
        <v>5250</v>
      </c>
      <c r="I39" s="16"/>
      <c r="J39" s="16"/>
      <c r="K39" s="16"/>
    </row>
    <row r="40" spans="2:11" x14ac:dyDescent="0.3">
      <c r="B40" s="50"/>
      <c r="C40" s="3">
        <v>20</v>
      </c>
      <c r="D40" s="3">
        <v>4375</v>
      </c>
      <c r="E40" s="3">
        <f t="shared" si="0"/>
        <v>14625</v>
      </c>
      <c r="F40" s="3" t="s">
        <v>46</v>
      </c>
      <c r="G40" s="3">
        <f t="shared" si="1"/>
        <v>3375</v>
      </c>
      <c r="H40" s="21">
        <f t="shared" si="2"/>
        <v>5375</v>
      </c>
      <c r="I40" s="16"/>
      <c r="J40" s="16"/>
      <c r="K40" s="16"/>
    </row>
    <row r="41" spans="2:11" x14ac:dyDescent="0.3">
      <c r="B41" s="50"/>
      <c r="C41" s="3">
        <v>21</v>
      </c>
      <c r="D41" s="3">
        <v>4500</v>
      </c>
      <c r="E41" s="3">
        <f t="shared" si="0"/>
        <v>14500</v>
      </c>
      <c r="F41" s="3" t="s">
        <v>46</v>
      </c>
      <c r="G41" s="3">
        <f t="shared" si="1"/>
        <v>3500</v>
      </c>
      <c r="H41" s="21">
        <f t="shared" si="2"/>
        <v>5500</v>
      </c>
      <c r="I41" s="16"/>
      <c r="J41" s="16"/>
      <c r="K41" s="16"/>
    </row>
    <row r="42" spans="2:11" x14ac:dyDescent="0.3">
      <c r="B42" s="50"/>
      <c r="C42" s="3">
        <v>22</v>
      </c>
      <c r="D42" s="3">
        <v>4625</v>
      </c>
      <c r="E42" s="3">
        <f t="shared" si="0"/>
        <v>14375</v>
      </c>
      <c r="F42" s="3" t="s">
        <v>46</v>
      </c>
      <c r="G42" s="3">
        <f t="shared" si="1"/>
        <v>3625</v>
      </c>
      <c r="H42" s="21">
        <f t="shared" si="2"/>
        <v>5625</v>
      </c>
      <c r="I42" s="16"/>
      <c r="J42" s="16"/>
      <c r="K42" s="16"/>
    </row>
    <row r="43" spans="2:11" x14ac:dyDescent="0.3">
      <c r="B43" s="50"/>
      <c r="C43" s="3">
        <v>23</v>
      </c>
      <c r="D43" s="3">
        <v>4750</v>
      </c>
      <c r="E43" s="3">
        <f t="shared" si="0"/>
        <v>14250</v>
      </c>
      <c r="F43" s="3" t="s">
        <v>46</v>
      </c>
      <c r="G43" s="3">
        <f t="shared" si="1"/>
        <v>3750</v>
      </c>
      <c r="H43" s="21">
        <f t="shared" si="2"/>
        <v>5750</v>
      </c>
      <c r="I43" s="16"/>
      <c r="J43" s="16"/>
      <c r="K43" s="16"/>
    </row>
    <row r="44" spans="2:11" x14ac:dyDescent="0.3">
      <c r="B44" s="50"/>
      <c r="C44" s="3">
        <v>24</v>
      </c>
      <c r="D44" s="3">
        <v>4875</v>
      </c>
      <c r="E44" s="3">
        <f t="shared" si="0"/>
        <v>14125</v>
      </c>
      <c r="F44" s="3" t="s">
        <v>46</v>
      </c>
      <c r="G44" s="3">
        <f t="shared" si="1"/>
        <v>3875</v>
      </c>
      <c r="H44" s="21">
        <f t="shared" si="2"/>
        <v>5875</v>
      </c>
      <c r="I44" s="16"/>
      <c r="J44" s="16"/>
      <c r="K44" s="16"/>
    </row>
    <row r="45" spans="2:11" x14ac:dyDescent="0.3">
      <c r="B45" s="50"/>
      <c r="C45" s="3">
        <v>25</v>
      </c>
      <c r="D45" s="18">
        <v>5000</v>
      </c>
      <c r="E45" s="18">
        <f t="shared" si="0"/>
        <v>14000</v>
      </c>
      <c r="F45" s="3" t="s">
        <v>46</v>
      </c>
      <c r="G45" s="18">
        <f t="shared" si="1"/>
        <v>4000</v>
      </c>
      <c r="H45" s="22">
        <f t="shared" si="2"/>
        <v>6000</v>
      </c>
      <c r="I45" s="44" t="s">
        <v>62</v>
      </c>
      <c r="J45" s="17"/>
      <c r="K45" s="16"/>
    </row>
    <row r="46" spans="2:11" x14ac:dyDescent="0.3">
      <c r="B46" s="50"/>
      <c r="C46" s="3">
        <v>26</v>
      </c>
      <c r="D46" s="3">
        <v>5125</v>
      </c>
      <c r="E46" s="3">
        <f t="shared" si="0"/>
        <v>13875</v>
      </c>
      <c r="F46" s="3" t="s">
        <v>46</v>
      </c>
      <c r="G46" s="3">
        <f t="shared" si="1"/>
        <v>4125</v>
      </c>
      <c r="H46" s="21">
        <f t="shared" si="2"/>
        <v>6000</v>
      </c>
    </row>
    <row r="47" spans="2:11" x14ac:dyDescent="0.3">
      <c r="B47" s="50"/>
      <c r="C47" s="3">
        <v>27</v>
      </c>
      <c r="D47" s="3">
        <v>5250</v>
      </c>
      <c r="E47" s="3">
        <f t="shared" si="0"/>
        <v>13750</v>
      </c>
      <c r="F47" s="3" t="s">
        <v>46</v>
      </c>
      <c r="G47" s="3">
        <f t="shared" si="1"/>
        <v>4250</v>
      </c>
      <c r="H47" s="21">
        <f t="shared" si="2"/>
        <v>6000</v>
      </c>
    </row>
    <row r="48" spans="2:11" x14ac:dyDescent="0.3">
      <c r="B48" s="50"/>
      <c r="C48" s="3">
        <v>28</v>
      </c>
      <c r="D48" s="3">
        <v>5375</v>
      </c>
      <c r="E48" s="3">
        <f t="shared" si="0"/>
        <v>13625</v>
      </c>
      <c r="F48" s="3" t="s">
        <v>46</v>
      </c>
      <c r="G48" s="3">
        <f t="shared" si="1"/>
        <v>4375</v>
      </c>
      <c r="H48" s="21">
        <f t="shared" si="2"/>
        <v>6000</v>
      </c>
    </row>
    <row r="49" spans="2:8" x14ac:dyDescent="0.3">
      <c r="B49" s="50"/>
      <c r="C49" s="3">
        <v>29</v>
      </c>
      <c r="D49" s="3">
        <v>5500</v>
      </c>
      <c r="E49" s="3">
        <f t="shared" si="0"/>
        <v>13500</v>
      </c>
      <c r="F49" s="3" t="s">
        <v>46</v>
      </c>
      <c r="G49" s="3">
        <f t="shared" si="1"/>
        <v>4500</v>
      </c>
      <c r="H49" s="21">
        <f t="shared" si="2"/>
        <v>6000</v>
      </c>
    </row>
    <row r="50" spans="2:8" x14ac:dyDescent="0.3">
      <c r="B50" s="50"/>
      <c r="C50" s="3">
        <v>30</v>
      </c>
      <c r="D50" s="3">
        <v>5625</v>
      </c>
      <c r="E50" s="3">
        <f t="shared" si="0"/>
        <v>13375</v>
      </c>
      <c r="F50" s="3" t="s">
        <v>46</v>
      </c>
      <c r="G50" s="3">
        <f t="shared" si="1"/>
        <v>4625</v>
      </c>
      <c r="H50" s="21">
        <f t="shared" si="2"/>
        <v>6000</v>
      </c>
    </row>
    <row r="51" spans="2:8" x14ac:dyDescent="0.3">
      <c r="B51" s="50"/>
      <c r="C51" s="3">
        <v>31</v>
      </c>
      <c r="D51" s="3">
        <v>5750</v>
      </c>
      <c r="E51" s="3">
        <f t="shared" si="0"/>
        <v>13250</v>
      </c>
      <c r="F51" s="3" t="s">
        <v>46</v>
      </c>
      <c r="G51" s="3">
        <f t="shared" si="1"/>
        <v>4750</v>
      </c>
      <c r="H51" s="21">
        <f t="shared" si="2"/>
        <v>6000</v>
      </c>
    </row>
    <row r="52" spans="2:8" x14ac:dyDescent="0.3">
      <c r="B52" s="50"/>
      <c r="C52" s="3">
        <v>32</v>
      </c>
      <c r="D52" s="3">
        <v>5875</v>
      </c>
      <c r="E52" s="3">
        <f t="shared" si="0"/>
        <v>13125</v>
      </c>
      <c r="F52" s="3" t="s">
        <v>46</v>
      </c>
      <c r="G52" s="3">
        <f t="shared" si="1"/>
        <v>4875</v>
      </c>
      <c r="H52" s="21">
        <f t="shared" si="2"/>
        <v>6000</v>
      </c>
    </row>
    <row r="53" spans="2:8" x14ac:dyDescent="0.3">
      <c r="B53" s="50"/>
      <c r="C53" s="3">
        <v>33</v>
      </c>
      <c r="D53" s="3">
        <v>6000</v>
      </c>
      <c r="E53" s="3">
        <f t="shared" si="0"/>
        <v>13000</v>
      </c>
      <c r="F53" s="3" t="s">
        <v>46</v>
      </c>
      <c r="G53" s="3">
        <f t="shared" si="1"/>
        <v>5000</v>
      </c>
      <c r="H53" s="21">
        <f t="shared" si="2"/>
        <v>6000</v>
      </c>
    </row>
    <row r="54" spans="2:8" x14ac:dyDescent="0.3">
      <c r="B54" s="50"/>
      <c r="C54" s="3">
        <v>34</v>
      </c>
      <c r="D54" s="3">
        <v>6125</v>
      </c>
      <c r="E54" s="3">
        <f t="shared" si="0"/>
        <v>12875</v>
      </c>
      <c r="F54" s="3" t="s">
        <v>46</v>
      </c>
      <c r="G54" s="3">
        <f t="shared" ref="G54:G56" si="3">MAX(2000,D54-1000)</f>
        <v>5125</v>
      </c>
      <c r="H54" s="21">
        <f t="shared" ref="H54:H56" si="4">MIN(6000,D54+1000)</f>
        <v>6000</v>
      </c>
    </row>
    <row r="55" spans="2:8" x14ac:dyDescent="0.3">
      <c r="B55" s="50"/>
      <c r="C55" s="3">
        <v>35</v>
      </c>
      <c r="D55" s="3">
        <v>6250</v>
      </c>
      <c r="E55" s="3">
        <f t="shared" si="0"/>
        <v>12750</v>
      </c>
      <c r="F55" s="3" t="s">
        <v>46</v>
      </c>
      <c r="G55" s="3">
        <f t="shared" si="3"/>
        <v>5250</v>
      </c>
      <c r="H55" s="21">
        <f t="shared" si="4"/>
        <v>6000</v>
      </c>
    </row>
    <row r="56" spans="2:8" x14ac:dyDescent="0.3">
      <c r="B56" s="50"/>
      <c r="C56" s="3">
        <v>36</v>
      </c>
      <c r="D56" s="3">
        <v>6375</v>
      </c>
      <c r="E56" s="3">
        <f t="shared" si="0"/>
        <v>12625</v>
      </c>
      <c r="F56" s="3" t="s">
        <v>46</v>
      </c>
      <c r="G56" s="3">
        <f t="shared" si="3"/>
        <v>5375</v>
      </c>
      <c r="H56" s="21">
        <f t="shared" si="4"/>
        <v>6000</v>
      </c>
    </row>
    <row r="57" spans="2:8" x14ac:dyDescent="0.3">
      <c r="B57" s="50"/>
      <c r="C57" s="3">
        <v>37</v>
      </c>
      <c r="D57" s="3">
        <v>6500</v>
      </c>
      <c r="E57" s="3">
        <f t="shared" si="0"/>
        <v>12500</v>
      </c>
      <c r="F57" s="3" t="s">
        <v>46</v>
      </c>
      <c r="G57" s="3">
        <f t="shared" ref="G57:G60" si="5">MAX(2000,D57-1000)</f>
        <v>5500</v>
      </c>
      <c r="H57" s="21">
        <f t="shared" ref="H57:H60" si="6">MIN(6000,D57+1000)</f>
        <v>6000</v>
      </c>
    </row>
    <row r="58" spans="2:8" x14ac:dyDescent="0.3">
      <c r="B58" s="50"/>
      <c r="C58" s="3">
        <v>38</v>
      </c>
      <c r="D58" s="3">
        <v>6625</v>
      </c>
      <c r="E58" s="3">
        <f t="shared" si="0"/>
        <v>12375</v>
      </c>
      <c r="F58" s="3" t="s">
        <v>46</v>
      </c>
      <c r="G58" s="3">
        <f t="shared" si="5"/>
        <v>5625</v>
      </c>
      <c r="H58" s="21">
        <f t="shared" si="6"/>
        <v>6000</v>
      </c>
    </row>
    <row r="59" spans="2:8" x14ac:dyDescent="0.3">
      <c r="B59" s="50"/>
      <c r="C59" s="3">
        <v>39</v>
      </c>
      <c r="D59" s="3">
        <v>6750</v>
      </c>
      <c r="E59" s="3">
        <f t="shared" si="0"/>
        <v>12250</v>
      </c>
      <c r="F59" s="3" t="s">
        <v>46</v>
      </c>
      <c r="G59" s="3">
        <f t="shared" si="5"/>
        <v>5750</v>
      </c>
      <c r="H59" s="21">
        <f t="shared" si="6"/>
        <v>6000</v>
      </c>
    </row>
    <row r="60" spans="2:8" ht="15" thickBot="1" x14ac:dyDescent="0.35">
      <c r="B60" s="51"/>
      <c r="C60" s="23">
        <v>40</v>
      </c>
      <c r="D60" s="23">
        <v>6875</v>
      </c>
      <c r="E60" s="23">
        <f t="shared" si="0"/>
        <v>12125</v>
      </c>
      <c r="F60" s="23" t="s">
        <v>46</v>
      </c>
      <c r="G60" s="23">
        <f t="shared" si="5"/>
        <v>5875</v>
      </c>
      <c r="H60" s="24">
        <f t="shared" si="6"/>
        <v>6000</v>
      </c>
    </row>
    <row r="61" spans="2:8" x14ac:dyDescent="0.3">
      <c r="B61" s="47" t="s">
        <v>20</v>
      </c>
      <c r="C61" s="6">
        <v>41</v>
      </c>
      <c r="D61" s="25">
        <v>6250</v>
      </c>
      <c r="E61" s="19">
        <f t="shared" ref="E61:E115" si="7">$C$7+D61</f>
        <v>10000</v>
      </c>
      <c r="F61" s="25" t="s">
        <v>26</v>
      </c>
      <c r="G61" s="25">
        <f t="shared" ref="G61:G115" si="8">MAX(6000,D61-1000)</f>
        <v>6000</v>
      </c>
      <c r="H61" s="26">
        <f t="shared" ref="H61:H115" si="9">MIN(18000,D61+1000)</f>
        <v>7250</v>
      </c>
    </row>
    <row r="62" spans="2:8" x14ac:dyDescent="0.3">
      <c r="B62" s="48"/>
      <c r="C62" s="3">
        <v>42</v>
      </c>
      <c r="D62" s="7">
        <v>6375</v>
      </c>
      <c r="E62" s="7">
        <f t="shared" si="7"/>
        <v>10125</v>
      </c>
      <c r="F62" s="7" t="s">
        <v>26</v>
      </c>
      <c r="G62" s="7">
        <f t="shared" si="8"/>
        <v>6000</v>
      </c>
      <c r="H62" s="27">
        <f t="shared" si="9"/>
        <v>7375</v>
      </c>
    </row>
    <row r="63" spans="2:8" x14ac:dyDescent="0.3">
      <c r="B63" s="48"/>
      <c r="C63" s="3">
        <v>43</v>
      </c>
      <c r="D63" s="7">
        <v>6500</v>
      </c>
      <c r="E63" s="3">
        <f t="shared" si="7"/>
        <v>10250</v>
      </c>
      <c r="F63" s="7" t="s">
        <v>26</v>
      </c>
      <c r="G63" s="7">
        <f t="shared" si="8"/>
        <v>6000</v>
      </c>
      <c r="H63" s="27">
        <f t="shared" si="9"/>
        <v>7500</v>
      </c>
    </row>
    <row r="64" spans="2:8" x14ac:dyDescent="0.3">
      <c r="B64" s="48"/>
      <c r="C64" s="3">
        <v>44</v>
      </c>
      <c r="D64" s="7">
        <v>6625</v>
      </c>
      <c r="E64" s="7">
        <f t="shared" si="7"/>
        <v>10375</v>
      </c>
      <c r="F64" s="7" t="s">
        <v>26</v>
      </c>
      <c r="G64" s="7">
        <f t="shared" si="8"/>
        <v>6000</v>
      </c>
      <c r="H64" s="27">
        <f t="shared" si="9"/>
        <v>7625</v>
      </c>
    </row>
    <row r="65" spans="2:9" x14ac:dyDescent="0.3">
      <c r="B65" s="48"/>
      <c r="C65" s="3">
        <v>45</v>
      </c>
      <c r="D65" s="7">
        <v>6750</v>
      </c>
      <c r="E65" s="3">
        <f t="shared" si="7"/>
        <v>10500</v>
      </c>
      <c r="F65" s="7" t="s">
        <v>26</v>
      </c>
      <c r="G65" s="7">
        <f t="shared" si="8"/>
        <v>6000</v>
      </c>
      <c r="H65" s="27">
        <f t="shared" si="9"/>
        <v>7750</v>
      </c>
    </row>
    <row r="66" spans="2:9" x14ac:dyDescent="0.3">
      <c r="B66" s="48"/>
      <c r="C66" s="3">
        <v>46</v>
      </c>
      <c r="D66" s="7">
        <v>6875</v>
      </c>
      <c r="E66" s="7">
        <f t="shared" si="7"/>
        <v>10625</v>
      </c>
      <c r="F66" s="7" t="s">
        <v>26</v>
      </c>
      <c r="G66" s="7">
        <f t="shared" si="8"/>
        <v>6000</v>
      </c>
      <c r="H66" s="27">
        <f t="shared" si="9"/>
        <v>7875</v>
      </c>
    </row>
    <row r="67" spans="2:9" x14ac:dyDescent="0.3">
      <c r="B67" s="48"/>
      <c r="C67" s="3">
        <v>47</v>
      </c>
      <c r="D67" s="18">
        <v>7000</v>
      </c>
      <c r="E67" s="18">
        <f t="shared" si="7"/>
        <v>10750</v>
      </c>
      <c r="F67" s="7" t="s">
        <v>26</v>
      </c>
      <c r="G67" s="18">
        <f t="shared" si="8"/>
        <v>6000</v>
      </c>
      <c r="H67" s="22">
        <f t="shared" si="9"/>
        <v>8000</v>
      </c>
      <c r="I67" s="44" t="s">
        <v>63</v>
      </c>
    </row>
    <row r="68" spans="2:9" x14ac:dyDescent="0.3">
      <c r="B68" s="48"/>
      <c r="C68" s="3">
        <v>48</v>
      </c>
      <c r="D68" s="7">
        <v>7125</v>
      </c>
      <c r="E68" s="7">
        <f t="shared" si="7"/>
        <v>10875</v>
      </c>
      <c r="F68" s="7" t="s">
        <v>26</v>
      </c>
      <c r="G68" s="7">
        <f t="shared" si="8"/>
        <v>6125</v>
      </c>
      <c r="H68" s="27">
        <f t="shared" si="9"/>
        <v>8125</v>
      </c>
    </row>
    <row r="69" spans="2:9" x14ac:dyDescent="0.3">
      <c r="B69" s="48"/>
      <c r="C69" s="3">
        <v>49</v>
      </c>
      <c r="D69" s="7">
        <v>7250</v>
      </c>
      <c r="E69" s="3">
        <f t="shared" si="7"/>
        <v>11000</v>
      </c>
      <c r="F69" s="7" t="s">
        <v>26</v>
      </c>
      <c r="G69" s="7">
        <f t="shared" si="8"/>
        <v>6250</v>
      </c>
      <c r="H69" s="27">
        <f t="shared" si="9"/>
        <v>8250</v>
      </c>
    </row>
    <row r="70" spans="2:9" x14ac:dyDescent="0.3">
      <c r="B70" s="48"/>
      <c r="C70" s="3">
        <v>50</v>
      </c>
      <c r="D70" s="7">
        <v>7375</v>
      </c>
      <c r="E70" s="7">
        <f t="shared" si="7"/>
        <v>11125</v>
      </c>
      <c r="F70" s="7" t="s">
        <v>26</v>
      </c>
      <c r="G70" s="7">
        <f t="shared" si="8"/>
        <v>6375</v>
      </c>
      <c r="H70" s="27">
        <f t="shared" si="9"/>
        <v>8375</v>
      </c>
    </row>
    <row r="71" spans="2:9" x14ac:dyDescent="0.3">
      <c r="B71" s="48"/>
      <c r="C71" s="3">
        <v>51</v>
      </c>
      <c r="D71" s="7">
        <v>7500</v>
      </c>
      <c r="E71" s="3">
        <f t="shared" si="7"/>
        <v>11250</v>
      </c>
      <c r="F71" s="7" t="s">
        <v>26</v>
      </c>
      <c r="G71" s="7">
        <f t="shared" si="8"/>
        <v>6500</v>
      </c>
      <c r="H71" s="27">
        <f t="shared" si="9"/>
        <v>8500</v>
      </c>
    </row>
    <row r="72" spans="2:9" x14ac:dyDescent="0.3">
      <c r="B72" s="48"/>
      <c r="C72" s="3">
        <v>52</v>
      </c>
      <c r="D72" s="7">
        <v>7625</v>
      </c>
      <c r="E72" s="7">
        <f t="shared" si="7"/>
        <v>11375</v>
      </c>
      <c r="F72" s="7" t="s">
        <v>26</v>
      </c>
      <c r="G72" s="7">
        <f t="shared" si="8"/>
        <v>6625</v>
      </c>
      <c r="H72" s="27">
        <f t="shared" si="9"/>
        <v>8625</v>
      </c>
    </row>
    <row r="73" spans="2:9" x14ac:dyDescent="0.3">
      <c r="B73" s="48"/>
      <c r="C73" s="3">
        <v>53</v>
      </c>
      <c r="D73" s="7">
        <v>7750</v>
      </c>
      <c r="E73" s="3">
        <f t="shared" si="7"/>
        <v>11500</v>
      </c>
      <c r="F73" s="7" t="s">
        <v>26</v>
      </c>
      <c r="G73" s="7">
        <f t="shared" si="8"/>
        <v>6750</v>
      </c>
      <c r="H73" s="27">
        <f t="shared" si="9"/>
        <v>8750</v>
      </c>
    </row>
    <row r="74" spans="2:9" x14ac:dyDescent="0.3">
      <c r="B74" s="48"/>
      <c r="C74" s="3">
        <v>54</v>
      </c>
      <c r="D74" s="7">
        <v>7875</v>
      </c>
      <c r="E74" s="7">
        <f t="shared" si="7"/>
        <v>11625</v>
      </c>
      <c r="F74" s="7" t="s">
        <v>26</v>
      </c>
      <c r="G74" s="7">
        <f t="shared" si="8"/>
        <v>6875</v>
      </c>
      <c r="H74" s="27">
        <f t="shared" si="9"/>
        <v>8875</v>
      </c>
    </row>
    <row r="75" spans="2:9" x14ac:dyDescent="0.3">
      <c r="B75" s="48"/>
      <c r="C75" s="3">
        <v>55</v>
      </c>
      <c r="D75" s="7">
        <v>8000</v>
      </c>
      <c r="E75" s="3">
        <f t="shared" si="7"/>
        <v>11750</v>
      </c>
      <c r="F75" s="7" t="s">
        <v>26</v>
      </c>
      <c r="G75" s="7">
        <f t="shared" si="8"/>
        <v>7000</v>
      </c>
      <c r="H75" s="27">
        <f t="shared" si="9"/>
        <v>9000</v>
      </c>
    </row>
    <row r="76" spans="2:9" x14ac:dyDescent="0.3">
      <c r="B76" s="48"/>
      <c r="C76" s="3">
        <v>56</v>
      </c>
      <c r="D76" s="7">
        <v>8125</v>
      </c>
      <c r="E76" s="7">
        <f t="shared" si="7"/>
        <v>11875</v>
      </c>
      <c r="F76" s="7" t="s">
        <v>26</v>
      </c>
      <c r="G76" s="7">
        <f t="shared" si="8"/>
        <v>7125</v>
      </c>
      <c r="H76" s="27">
        <f t="shared" si="9"/>
        <v>9125</v>
      </c>
    </row>
    <row r="77" spans="2:9" x14ac:dyDescent="0.3">
      <c r="B77" s="48"/>
      <c r="C77" s="3">
        <v>57</v>
      </c>
      <c r="D77" s="7">
        <v>8250</v>
      </c>
      <c r="E77" s="3">
        <f t="shared" si="7"/>
        <v>12000</v>
      </c>
      <c r="F77" s="7" t="s">
        <v>26</v>
      </c>
      <c r="G77" s="7">
        <f t="shared" si="8"/>
        <v>7250</v>
      </c>
      <c r="H77" s="27">
        <f t="shared" si="9"/>
        <v>9250</v>
      </c>
    </row>
    <row r="78" spans="2:9" x14ac:dyDescent="0.3">
      <c r="B78" s="48"/>
      <c r="C78" s="3">
        <v>58</v>
      </c>
      <c r="D78" s="7">
        <v>8375</v>
      </c>
      <c r="E78" s="7">
        <f t="shared" si="7"/>
        <v>12125</v>
      </c>
      <c r="F78" s="7" t="s">
        <v>26</v>
      </c>
      <c r="G78" s="7">
        <f t="shared" si="8"/>
        <v>7375</v>
      </c>
      <c r="H78" s="27">
        <f t="shared" si="9"/>
        <v>9375</v>
      </c>
    </row>
    <row r="79" spans="2:9" x14ac:dyDescent="0.3">
      <c r="B79" s="48"/>
      <c r="C79" s="3">
        <v>59</v>
      </c>
      <c r="D79" s="7">
        <v>8500</v>
      </c>
      <c r="E79" s="3">
        <f t="shared" si="7"/>
        <v>12250</v>
      </c>
      <c r="F79" s="7" t="s">
        <v>26</v>
      </c>
      <c r="G79" s="7">
        <f t="shared" si="8"/>
        <v>7500</v>
      </c>
      <c r="H79" s="27">
        <f t="shared" si="9"/>
        <v>9500</v>
      </c>
    </row>
    <row r="80" spans="2:9" x14ac:dyDescent="0.3">
      <c r="B80" s="48"/>
      <c r="C80" s="3">
        <v>60</v>
      </c>
      <c r="D80" s="7">
        <v>8625</v>
      </c>
      <c r="E80" s="7">
        <f t="shared" si="7"/>
        <v>12375</v>
      </c>
      <c r="F80" s="7" t="s">
        <v>26</v>
      </c>
      <c r="G80" s="7">
        <f t="shared" si="8"/>
        <v>7625</v>
      </c>
      <c r="H80" s="27">
        <f t="shared" si="9"/>
        <v>9625</v>
      </c>
    </row>
    <row r="81" spans="2:9" x14ac:dyDescent="0.3">
      <c r="B81" s="48"/>
      <c r="C81" s="3">
        <v>61</v>
      </c>
      <c r="D81" s="7">
        <v>8750</v>
      </c>
      <c r="E81" s="3">
        <f t="shared" si="7"/>
        <v>12500</v>
      </c>
      <c r="F81" s="7" t="s">
        <v>26</v>
      </c>
      <c r="G81" s="7">
        <f t="shared" si="8"/>
        <v>7750</v>
      </c>
      <c r="H81" s="27">
        <f t="shared" si="9"/>
        <v>9750</v>
      </c>
    </row>
    <row r="82" spans="2:9" x14ac:dyDescent="0.3">
      <c r="B82" s="48"/>
      <c r="C82" s="3">
        <v>62</v>
      </c>
      <c r="D82" s="7">
        <v>8875</v>
      </c>
      <c r="E82" s="7">
        <f t="shared" si="7"/>
        <v>12625</v>
      </c>
      <c r="F82" s="7" t="s">
        <v>26</v>
      </c>
      <c r="G82" s="7">
        <f t="shared" si="8"/>
        <v>7875</v>
      </c>
      <c r="H82" s="27">
        <f t="shared" si="9"/>
        <v>9875</v>
      </c>
    </row>
    <row r="83" spans="2:9" x14ac:dyDescent="0.3">
      <c r="B83" s="48"/>
      <c r="C83" s="3">
        <v>63</v>
      </c>
      <c r="D83" s="18">
        <v>9000</v>
      </c>
      <c r="E83" s="18">
        <f t="shared" si="7"/>
        <v>12750</v>
      </c>
      <c r="F83" s="7" t="s">
        <v>26</v>
      </c>
      <c r="G83" s="18">
        <f t="shared" si="8"/>
        <v>8000</v>
      </c>
      <c r="H83" s="22">
        <f t="shared" si="9"/>
        <v>10000</v>
      </c>
      <c r="I83" s="44" t="s">
        <v>67</v>
      </c>
    </row>
    <row r="84" spans="2:9" x14ac:dyDescent="0.3">
      <c r="B84" s="48"/>
      <c r="C84" s="3">
        <v>64</v>
      </c>
      <c r="D84" s="7">
        <v>9125</v>
      </c>
      <c r="E84" s="7">
        <f t="shared" si="7"/>
        <v>12875</v>
      </c>
      <c r="F84" s="7" t="s">
        <v>26</v>
      </c>
      <c r="G84" s="7">
        <f t="shared" si="8"/>
        <v>8125</v>
      </c>
      <c r="H84" s="27">
        <f t="shared" si="9"/>
        <v>10125</v>
      </c>
    </row>
    <row r="85" spans="2:9" x14ac:dyDescent="0.3">
      <c r="B85" s="48"/>
      <c r="C85" s="3">
        <v>65</v>
      </c>
      <c r="D85" s="7">
        <v>9250</v>
      </c>
      <c r="E85" s="3">
        <f t="shared" si="7"/>
        <v>13000</v>
      </c>
      <c r="F85" s="7" t="s">
        <v>26</v>
      </c>
      <c r="G85" s="7">
        <f t="shared" si="8"/>
        <v>8250</v>
      </c>
      <c r="H85" s="27">
        <f t="shared" si="9"/>
        <v>10250</v>
      </c>
    </row>
    <row r="86" spans="2:9" x14ac:dyDescent="0.3">
      <c r="B86" s="48"/>
      <c r="C86" s="3">
        <v>66</v>
      </c>
      <c r="D86" s="7">
        <v>9375</v>
      </c>
      <c r="E86" s="7">
        <f t="shared" si="7"/>
        <v>13125</v>
      </c>
      <c r="F86" s="7" t="s">
        <v>26</v>
      </c>
      <c r="G86" s="7">
        <f t="shared" si="8"/>
        <v>8375</v>
      </c>
      <c r="H86" s="27">
        <f t="shared" si="9"/>
        <v>10375</v>
      </c>
    </row>
    <row r="87" spans="2:9" x14ac:dyDescent="0.3">
      <c r="B87" s="48"/>
      <c r="C87" s="3">
        <v>67</v>
      </c>
      <c r="D87" s="7">
        <v>9500</v>
      </c>
      <c r="E87" s="3">
        <f t="shared" si="7"/>
        <v>13250</v>
      </c>
      <c r="F87" s="7" t="s">
        <v>26</v>
      </c>
      <c r="G87" s="7">
        <f t="shared" si="8"/>
        <v>8500</v>
      </c>
      <c r="H87" s="27">
        <f t="shared" si="9"/>
        <v>10500</v>
      </c>
    </row>
    <row r="88" spans="2:9" x14ac:dyDescent="0.3">
      <c r="B88" s="48"/>
      <c r="C88" s="3">
        <v>68</v>
      </c>
      <c r="D88" s="7">
        <v>9625</v>
      </c>
      <c r="E88" s="7">
        <f t="shared" si="7"/>
        <v>13375</v>
      </c>
      <c r="F88" s="7" t="s">
        <v>26</v>
      </c>
      <c r="G88" s="7">
        <f t="shared" si="8"/>
        <v>8625</v>
      </c>
      <c r="H88" s="27">
        <f t="shared" si="9"/>
        <v>10625</v>
      </c>
    </row>
    <row r="89" spans="2:9" x14ac:dyDescent="0.3">
      <c r="B89" s="48"/>
      <c r="C89" s="3">
        <v>69</v>
      </c>
      <c r="D89" s="7">
        <v>9750</v>
      </c>
      <c r="E89" s="3">
        <f t="shared" si="7"/>
        <v>13500</v>
      </c>
      <c r="F89" s="7" t="s">
        <v>26</v>
      </c>
      <c r="G89" s="7">
        <f t="shared" si="8"/>
        <v>8750</v>
      </c>
      <c r="H89" s="27">
        <f t="shared" si="9"/>
        <v>10750</v>
      </c>
    </row>
    <row r="90" spans="2:9" x14ac:dyDescent="0.3">
      <c r="B90" s="48"/>
      <c r="C90" s="3">
        <v>70</v>
      </c>
      <c r="D90" s="7">
        <v>9875</v>
      </c>
      <c r="E90" s="7">
        <f t="shared" si="7"/>
        <v>13625</v>
      </c>
      <c r="F90" s="7" t="s">
        <v>26</v>
      </c>
      <c r="G90" s="7">
        <f t="shared" si="8"/>
        <v>8875</v>
      </c>
      <c r="H90" s="27">
        <f t="shared" si="9"/>
        <v>10875</v>
      </c>
    </row>
    <row r="91" spans="2:9" x14ac:dyDescent="0.3">
      <c r="B91" s="48"/>
      <c r="C91" s="3">
        <v>71</v>
      </c>
      <c r="D91" s="7">
        <v>10000</v>
      </c>
      <c r="E91" s="3">
        <f t="shared" si="7"/>
        <v>13750</v>
      </c>
      <c r="F91" s="7" t="s">
        <v>26</v>
      </c>
      <c r="G91" s="7">
        <f t="shared" si="8"/>
        <v>9000</v>
      </c>
      <c r="H91" s="27">
        <f t="shared" si="9"/>
        <v>11000</v>
      </c>
    </row>
    <row r="92" spans="2:9" x14ac:dyDescent="0.3">
      <c r="B92" s="48"/>
      <c r="C92" s="3">
        <v>72</v>
      </c>
      <c r="D92" s="7">
        <v>10125</v>
      </c>
      <c r="E92" s="7">
        <f t="shared" si="7"/>
        <v>13875</v>
      </c>
      <c r="F92" s="7" t="s">
        <v>26</v>
      </c>
      <c r="G92" s="7">
        <f t="shared" si="8"/>
        <v>9125</v>
      </c>
      <c r="H92" s="27">
        <f t="shared" si="9"/>
        <v>11125</v>
      </c>
    </row>
    <row r="93" spans="2:9" x14ac:dyDescent="0.3">
      <c r="B93" s="48"/>
      <c r="C93" s="3">
        <v>73</v>
      </c>
      <c r="D93" s="7">
        <v>10250</v>
      </c>
      <c r="E93" s="3">
        <f t="shared" si="7"/>
        <v>14000</v>
      </c>
      <c r="F93" s="7" t="s">
        <v>26</v>
      </c>
      <c r="G93" s="7">
        <f t="shared" si="8"/>
        <v>9250</v>
      </c>
      <c r="H93" s="27">
        <f t="shared" si="9"/>
        <v>11250</v>
      </c>
    </row>
    <row r="94" spans="2:9" x14ac:dyDescent="0.3">
      <c r="B94" s="48"/>
      <c r="C94" s="3">
        <v>74</v>
      </c>
      <c r="D94" s="7">
        <v>10375</v>
      </c>
      <c r="E94" s="7">
        <f t="shared" si="7"/>
        <v>14125</v>
      </c>
      <c r="F94" s="7" t="s">
        <v>26</v>
      </c>
      <c r="G94" s="7">
        <f t="shared" si="8"/>
        <v>9375</v>
      </c>
      <c r="H94" s="27">
        <f t="shared" si="9"/>
        <v>11375</v>
      </c>
    </row>
    <row r="95" spans="2:9" x14ac:dyDescent="0.3">
      <c r="B95" s="48"/>
      <c r="C95" s="3">
        <v>75</v>
      </c>
      <c r="D95" s="7">
        <v>10500</v>
      </c>
      <c r="E95" s="3">
        <f t="shared" si="7"/>
        <v>14250</v>
      </c>
      <c r="F95" s="7" t="s">
        <v>26</v>
      </c>
      <c r="G95" s="7">
        <f t="shared" si="8"/>
        <v>9500</v>
      </c>
      <c r="H95" s="27">
        <f t="shared" si="9"/>
        <v>11500</v>
      </c>
    </row>
    <row r="96" spans="2:9" x14ac:dyDescent="0.3">
      <c r="B96" s="48"/>
      <c r="C96" s="3">
        <v>76</v>
      </c>
      <c r="D96" s="7">
        <v>10625</v>
      </c>
      <c r="E96" s="7">
        <f t="shared" si="7"/>
        <v>14375</v>
      </c>
      <c r="F96" s="7" t="s">
        <v>26</v>
      </c>
      <c r="G96" s="7">
        <f t="shared" si="8"/>
        <v>9625</v>
      </c>
      <c r="H96" s="27">
        <f t="shared" si="9"/>
        <v>11625</v>
      </c>
    </row>
    <row r="97" spans="2:9" x14ac:dyDescent="0.3">
      <c r="B97" s="48"/>
      <c r="C97" s="3">
        <v>77</v>
      </c>
      <c r="D97" s="7">
        <v>10750</v>
      </c>
      <c r="E97" s="3">
        <f t="shared" si="7"/>
        <v>14500</v>
      </c>
      <c r="F97" s="7" t="s">
        <v>26</v>
      </c>
      <c r="G97" s="7">
        <f t="shared" si="8"/>
        <v>9750</v>
      </c>
      <c r="H97" s="27">
        <f t="shared" si="9"/>
        <v>11750</v>
      </c>
    </row>
    <row r="98" spans="2:9" x14ac:dyDescent="0.3">
      <c r="B98" s="48"/>
      <c r="C98" s="3">
        <v>78</v>
      </c>
      <c r="D98" s="7">
        <v>10875</v>
      </c>
      <c r="E98" s="7">
        <f t="shared" si="7"/>
        <v>14625</v>
      </c>
      <c r="F98" s="7" t="s">
        <v>26</v>
      </c>
      <c r="G98" s="7">
        <f t="shared" si="8"/>
        <v>9875</v>
      </c>
      <c r="H98" s="27">
        <f t="shared" si="9"/>
        <v>11875</v>
      </c>
    </row>
    <row r="99" spans="2:9" x14ac:dyDescent="0.3">
      <c r="B99" s="48"/>
      <c r="C99" s="3">
        <v>79</v>
      </c>
      <c r="D99" s="18">
        <v>11000</v>
      </c>
      <c r="E99" s="18">
        <f t="shared" si="7"/>
        <v>14750</v>
      </c>
      <c r="F99" s="7" t="s">
        <v>26</v>
      </c>
      <c r="G99" s="18">
        <f t="shared" si="8"/>
        <v>10000</v>
      </c>
      <c r="H99" s="22">
        <f t="shared" si="9"/>
        <v>12000</v>
      </c>
      <c r="I99" s="44" t="s">
        <v>64</v>
      </c>
    </row>
    <row r="100" spans="2:9" x14ac:dyDescent="0.3">
      <c r="B100" s="48"/>
      <c r="C100" s="3">
        <v>80</v>
      </c>
      <c r="D100" s="7">
        <v>11125</v>
      </c>
      <c r="E100" s="7">
        <f t="shared" si="7"/>
        <v>14875</v>
      </c>
      <c r="F100" s="7" t="s">
        <v>26</v>
      </c>
      <c r="G100" s="7">
        <f t="shared" si="8"/>
        <v>10125</v>
      </c>
      <c r="H100" s="27">
        <f t="shared" si="9"/>
        <v>12125</v>
      </c>
    </row>
    <row r="101" spans="2:9" x14ac:dyDescent="0.3">
      <c r="B101" s="48"/>
      <c r="C101" s="3">
        <v>81</v>
      </c>
      <c r="D101" s="7">
        <v>11250</v>
      </c>
      <c r="E101" s="3">
        <f t="shared" si="7"/>
        <v>15000</v>
      </c>
      <c r="F101" s="7" t="s">
        <v>26</v>
      </c>
      <c r="G101" s="7">
        <f t="shared" si="8"/>
        <v>10250</v>
      </c>
      <c r="H101" s="27">
        <f t="shared" si="9"/>
        <v>12250</v>
      </c>
    </row>
    <row r="102" spans="2:9" x14ac:dyDescent="0.3">
      <c r="B102" s="48"/>
      <c r="C102" s="3">
        <v>82</v>
      </c>
      <c r="D102" s="7">
        <v>11375</v>
      </c>
      <c r="E102" s="7">
        <f t="shared" si="7"/>
        <v>15125</v>
      </c>
      <c r="F102" s="7" t="s">
        <v>26</v>
      </c>
      <c r="G102" s="7">
        <f t="shared" si="8"/>
        <v>10375</v>
      </c>
      <c r="H102" s="27">
        <f t="shared" si="9"/>
        <v>12375</v>
      </c>
    </row>
    <row r="103" spans="2:9" x14ac:dyDescent="0.3">
      <c r="B103" s="48"/>
      <c r="C103" s="3">
        <v>83</v>
      </c>
      <c r="D103" s="7">
        <v>11500</v>
      </c>
      <c r="E103" s="3">
        <f t="shared" si="7"/>
        <v>15250</v>
      </c>
      <c r="F103" s="7" t="s">
        <v>26</v>
      </c>
      <c r="G103" s="7">
        <f t="shared" si="8"/>
        <v>10500</v>
      </c>
      <c r="H103" s="27">
        <f t="shared" si="9"/>
        <v>12500</v>
      </c>
    </row>
    <row r="104" spans="2:9" x14ac:dyDescent="0.3">
      <c r="B104" s="48"/>
      <c r="C104" s="3">
        <v>84</v>
      </c>
      <c r="D104" s="7">
        <v>11625</v>
      </c>
      <c r="E104" s="7">
        <f t="shared" si="7"/>
        <v>15375</v>
      </c>
      <c r="F104" s="7" t="s">
        <v>26</v>
      </c>
      <c r="G104" s="7">
        <f t="shared" si="8"/>
        <v>10625</v>
      </c>
      <c r="H104" s="27">
        <f t="shared" si="9"/>
        <v>12625</v>
      </c>
    </row>
    <row r="105" spans="2:9" x14ac:dyDescent="0.3">
      <c r="B105" s="48"/>
      <c r="C105" s="3">
        <v>85</v>
      </c>
      <c r="D105" s="7">
        <v>11750</v>
      </c>
      <c r="E105" s="3">
        <f t="shared" si="7"/>
        <v>15500</v>
      </c>
      <c r="F105" s="7" t="s">
        <v>26</v>
      </c>
      <c r="G105" s="7">
        <f t="shared" si="8"/>
        <v>10750</v>
      </c>
      <c r="H105" s="27">
        <f t="shared" si="9"/>
        <v>12750</v>
      </c>
    </row>
    <row r="106" spans="2:9" x14ac:dyDescent="0.3">
      <c r="B106" s="48"/>
      <c r="C106" s="3">
        <v>86</v>
      </c>
      <c r="D106" s="7">
        <v>11875</v>
      </c>
      <c r="E106" s="7">
        <f t="shared" si="7"/>
        <v>15625</v>
      </c>
      <c r="F106" s="7" t="s">
        <v>26</v>
      </c>
      <c r="G106" s="7">
        <f t="shared" si="8"/>
        <v>10875</v>
      </c>
      <c r="H106" s="27">
        <f t="shared" si="9"/>
        <v>12875</v>
      </c>
    </row>
    <row r="107" spans="2:9" x14ac:dyDescent="0.3">
      <c r="B107" s="48"/>
      <c r="C107" s="3">
        <v>87</v>
      </c>
      <c r="D107" s="7">
        <v>12000</v>
      </c>
      <c r="E107" s="3">
        <f t="shared" si="7"/>
        <v>15750</v>
      </c>
      <c r="F107" s="7" t="s">
        <v>26</v>
      </c>
      <c r="G107" s="7">
        <f t="shared" si="8"/>
        <v>11000</v>
      </c>
      <c r="H107" s="27">
        <f t="shared" si="9"/>
        <v>13000</v>
      </c>
    </row>
    <row r="108" spans="2:9" x14ac:dyDescent="0.3">
      <c r="B108" s="48"/>
      <c r="C108" s="3">
        <v>88</v>
      </c>
      <c r="D108" s="7">
        <v>12125</v>
      </c>
      <c r="E108" s="7">
        <f t="shared" si="7"/>
        <v>15875</v>
      </c>
      <c r="F108" s="7" t="s">
        <v>26</v>
      </c>
      <c r="G108" s="7">
        <f t="shared" si="8"/>
        <v>11125</v>
      </c>
      <c r="H108" s="27">
        <f t="shared" si="9"/>
        <v>13125</v>
      </c>
    </row>
    <row r="109" spans="2:9" x14ac:dyDescent="0.3">
      <c r="B109" s="48"/>
      <c r="C109" s="3">
        <v>89</v>
      </c>
      <c r="D109" s="7">
        <v>12250</v>
      </c>
      <c r="E109" s="3">
        <f t="shared" si="7"/>
        <v>16000</v>
      </c>
      <c r="F109" s="7" t="s">
        <v>26</v>
      </c>
      <c r="G109" s="7">
        <f t="shared" si="8"/>
        <v>11250</v>
      </c>
      <c r="H109" s="27">
        <f t="shared" si="9"/>
        <v>13250</v>
      </c>
    </row>
    <row r="110" spans="2:9" x14ac:dyDescent="0.3">
      <c r="B110" s="48"/>
      <c r="C110" s="3">
        <v>90</v>
      </c>
      <c r="D110" s="7">
        <v>12375</v>
      </c>
      <c r="E110" s="7">
        <f t="shared" si="7"/>
        <v>16125</v>
      </c>
      <c r="F110" s="7" t="s">
        <v>26</v>
      </c>
      <c r="G110" s="7">
        <f t="shared" si="8"/>
        <v>11375</v>
      </c>
      <c r="H110" s="27">
        <f t="shared" si="9"/>
        <v>13375</v>
      </c>
    </row>
    <row r="111" spans="2:9" x14ac:dyDescent="0.3">
      <c r="B111" s="48"/>
      <c r="C111" s="3">
        <v>91</v>
      </c>
      <c r="D111" s="7">
        <v>12500</v>
      </c>
      <c r="E111" s="3">
        <f t="shared" si="7"/>
        <v>16250</v>
      </c>
      <c r="F111" s="7" t="s">
        <v>26</v>
      </c>
      <c r="G111" s="7">
        <f t="shared" si="8"/>
        <v>11500</v>
      </c>
      <c r="H111" s="27">
        <f t="shared" si="9"/>
        <v>13500</v>
      </c>
    </row>
    <row r="112" spans="2:9" x14ac:dyDescent="0.3">
      <c r="B112" s="48"/>
      <c r="C112" s="3">
        <v>92</v>
      </c>
      <c r="D112" s="7">
        <v>12625</v>
      </c>
      <c r="E112" s="7">
        <f t="shared" si="7"/>
        <v>16375</v>
      </c>
      <c r="F112" s="7" t="s">
        <v>26</v>
      </c>
      <c r="G112" s="7">
        <f t="shared" si="8"/>
        <v>11625</v>
      </c>
      <c r="H112" s="27">
        <f t="shared" si="9"/>
        <v>13625</v>
      </c>
    </row>
    <row r="113" spans="2:9" x14ac:dyDescent="0.3">
      <c r="B113" s="48"/>
      <c r="C113" s="3">
        <v>93</v>
      </c>
      <c r="D113" s="7">
        <v>12750</v>
      </c>
      <c r="E113" s="3">
        <f t="shared" si="7"/>
        <v>16500</v>
      </c>
      <c r="F113" s="7" t="s">
        <v>26</v>
      </c>
      <c r="G113" s="7">
        <f t="shared" si="8"/>
        <v>11750</v>
      </c>
      <c r="H113" s="27">
        <f t="shared" si="9"/>
        <v>13750</v>
      </c>
    </row>
    <row r="114" spans="2:9" x14ac:dyDescent="0.3">
      <c r="B114" s="48"/>
      <c r="C114" s="3">
        <v>94</v>
      </c>
      <c r="D114" s="7">
        <v>12875</v>
      </c>
      <c r="E114" s="7">
        <f t="shared" si="7"/>
        <v>16625</v>
      </c>
      <c r="F114" s="7" t="s">
        <v>26</v>
      </c>
      <c r="G114" s="7">
        <f t="shared" si="8"/>
        <v>11875</v>
      </c>
      <c r="H114" s="27">
        <f t="shared" si="9"/>
        <v>13875</v>
      </c>
    </row>
    <row r="115" spans="2:9" ht="15" thickBot="1" x14ac:dyDescent="0.35">
      <c r="B115" s="48"/>
      <c r="C115" s="23">
        <v>95</v>
      </c>
      <c r="D115" s="36">
        <v>13000</v>
      </c>
      <c r="E115" s="36">
        <f t="shared" si="7"/>
        <v>16750</v>
      </c>
      <c r="F115" s="33" t="s">
        <v>26</v>
      </c>
      <c r="G115" s="36">
        <f t="shared" si="8"/>
        <v>12000</v>
      </c>
      <c r="H115" s="37">
        <f t="shared" si="9"/>
        <v>14000</v>
      </c>
      <c r="I115" s="44" t="s">
        <v>64</v>
      </c>
    </row>
    <row r="116" spans="2:9" x14ac:dyDescent="0.3">
      <c r="B116" s="47" t="s">
        <v>21</v>
      </c>
      <c r="C116" s="6">
        <v>96</v>
      </c>
      <c r="D116" s="19">
        <v>13750</v>
      </c>
      <c r="E116" s="19">
        <f>D116-$C$7</f>
        <v>10000</v>
      </c>
      <c r="F116" s="25" t="s">
        <v>26</v>
      </c>
      <c r="G116" s="25">
        <f>MAX(6000,D116-1000)</f>
        <v>12750</v>
      </c>
      <c r="H116" s="26">
        <f>MIN(18000,D116+1000)</f>
        <v>14750</v>
      </c>
    </row>
    <row r="117" spans="2:9" x14ac:dyDescent="0.3">
      <c r="B117" s="48"/>
      <c r="C117" s="3">
        <v>97</v>
      </c>
      <c r="D117" s="3">
        <v>13875</v>
      </c>
      <c r="E117" s="3">
        <f t="shared" ref="E117:E157" si="10">D117-$C$7</f>
        <v>10125</v>
      </c>
      <c r="F117" s="7" t="s">
        <v>26</v>
      </c>
      <c r="G117" s="7">
        <f t="shared" ref="G117:G155" si="11">MAX(6000,D117-1000)</f>
        <v>12875</v>
      </c>
      <c r="H117" s="27">
        <f t="shared" ref="H117:H155" si="12">MIN(18000,D117+1000)</f>
        <v>14875</v>
      </c>
    </row>
    <row r="118" spans="2:9" x14ac:dyDescent="0.3">
      <c r="B118" s="48"/>
      <c r="C118" s="3">
        <v>98</v>
      </c>
      <c r="D118" s="3">
        <v>14000</v>
      </c>
      <c r="E118" s="3">
        <f>D118-$C$7</f>
        <v>10250</v>
      </c>
      <c r="F118" s="7" t="s">
        <v>26</v>
      </c>
      <c r="G118" s="7">
        <f t="shared" si="11"/>
        <v>13000</v>
      </c>
      <c r="H118" s="27">
        <f t="shared" si="12"/>
        <v>15000</v>
      </c>
    </row>
    <row r="119" spans="2:9" x14ac:dyDescent="0.3">
      <c r="B119" s="48"/>
      <c r="C119" s="3">
        <v>99</v>
      </c>
      <c r="D119" s="3">
        <v>14125</v>
      </c>
      <c r="E119" s="3">
        <f t="shared" si="10"/>
        <v>10375</v>
      </c>
      <c r="F119" s="7" t="s">
        <v>26</v>
      </c>
      <c r="G119" s="7">
        <f t="shared" si="11"/>
        <v>13125</v>
      </c>
      <c r="H119" s="27">
        <f t="shared" si="12"/>
        <v>15125</v>
      </c>
    </row>
    <row r="120" spans="2:9" x14ac:dyDescent="0.3">
      <c r="B120" s="48"/>
      <c r="C120" s="3">
        <v>100</v>
      </c>
      <c r="D120" s="3">
        <v>14250</v>
      </c>
      <c r="E120" s="3">
        <f t="shared" si="10"/>
        <v>10500</v>
      </c>
      <c r="F120" s="7" t="s">
        <v>26</v>
      </c>
      <c r="G120" s="7">
        <f t="shared" si="11"/>
        <v>13250</v>
      </c>
      <c r="H120" s="27">
        <f t="shared" si="12"/>
        <v>15250</v>
      </c>
    </row>
    <row r="121" spans="2:9" x14ac:dyDescent="0.3">
      <c r="B121" s="48"/>
      <c r="C121" s="3">
        <v>101</v>
      </c>
      <c r="D121" s="3">
        <v>14375</v>
      </c>
      <c r="E121" s="3">
        <f t="shared" si="10"/>
        <v>10625</v>
      </c>
      <c r="F121" s="7" t="s">
        <v>26</v>
      </c>
      <c r="G121" s="7">
        <f t="shared" si="11"/>
        <v>13375</v>
      </c>
      <c r="H121" s="27">
        <f t="shared" si="12"/>
        <v>15375</v>
      </c>
    </row>
    <row r="122" spans="2:9" x14ac:dyDescent="0.3">
      <c r="B122" s="48"/>
      <c r="C122" s="3">
        <v>102</v>
      </c>
      <c r="D122" s="3">
        <v>14500</v>
      </c>
      <c r="E122" s="3">
        <f t="shared" si="10"/>
        <v>10750</v>
      </c>
      <c r="F122" s="7" t="s">
        <v>26</v>
      </c>
      <c r="G122" s="7">
        <f t="shared" si="11"/>
        <v>13500</v>
      </c>
      <c r="H122" s="27">
        <f t="shared" si="12"/>
        <v>15500</v>
      </c>
    </row>
    <row r="123" spans="2:9" x14ac:dyDescent="0.3">
      <c r="B123" s="48"/>
      <c r="C123" s="3">
        <v>103</v>
      </c>
      <c r="D123" s="3">
        <v>14625</v>
      </c>
      <c r="E123" s="3">
        <f t="shared" si="10"/>
        <v>10875</v>
      </c>
      <c r="F123" s="7" t="s">
        <v>26</v>
      </c>
      <c r="G123" s="7">
        <f t="shared" si="11"/>
        <v>13625</v>
      </c>
      <c r="H123" s="27">
        <f t="shared" si="12"/>
        <v>15625</v>
      </c>
    </row>
    <row r="124" spans="2:9" x14ac:dyDescent="0.3">
      <c r="B124" s="48"/>
      <c r="C124" s="3">
        <v>104</v>
      </c>
      <c r="D124" s="3">
        <v>14750</v>
      </c>
      <c r="E124" s="3">
        <f t="shared" si="10"/>
        <v>11000</v>
      </c>
      <c r="F124" s="7" t="s">
        <v>26</v>
      </c>
      <c r="G124" s="7">
        <f t="shared" si="11"/>
        <v>13750</v>
      </c>
      <c r="H124" s="27">
        <f t="shared" si="12"/>
        <v>15750</v>
      </c>
    </row>
    <row r="125" spans="2:9" x14ac:dyDescent="0.3">
      <c r="B125" s="48"/>
      <c r="C125" s="3">
        <v>105</v>
      </c>
      <c r="D125" s="3">
        <v>14875</v>
      </c>
      <c r="E125" s="3">
        <f t="shared" si="10"/>
        <v>11125</v>
      </c>
      <c r="F125" s="7" t="s">
        <v>26</v>
      </c>
      <c r="G125" s="7">
        <f t="shared" si="11"/>
        <v>13875</v>
      </c>
      <c r="H125" s="27">
        <f t="shared" si="12"/>
        <v>15875</v>
      </c>
    </row>
    <row r="126" spans="2:9" x14ac:dyDescent="0.3">
      <c r="B126" s="48"/>
      <c r="C126" s="3">
        <v>106</v>
      </c>
      <c r="D126" s="18">
        <v>15000</v>
      </c>
      <c r="E126" s="18">
        <f t="shared" si="10"/>
        <v>11250</v>
      </c>
      <c r="F126" s="7" t="s">
        <v>26</v>
      </c>
      <c r="G126" s="18">
        <f t="shared" si="11"/>
        <v>14000</v>
      </c>
      <c r="H126" s="22">
        <f t="shared" si="12"/>
        <v>16000</v>
      </c>
      <c r="I126" s="44" t="s">
        <v>65</v>
      </c>
    </row>
    <row r="127" spans="2:9" x14ac:dyDescent="0.3">
      <c r="B127" s="48"/>
      <c r="C127" s="3">
        <v>107</v>
      </c>
      <c r="D127" s="3">
        <v>15125</v>
      </c>
      <c r="E127" s="3">
        <f t="shared" si="10"/>
        <v>11375</v>
      </c>
      <c r="F127" s="7" t="s">
        <v>26</v>
      </c>
      <c r="G127" s="7">
        <f t="shared" si="11"/>
        <v>14125</v>
      </c>
      <c r="H127" s="27">
        <f t="shared" si="12"/>
        <v>16125</v>
      </c>
    </row>
    <row r="128" spans="2:9" x14ac:dyDescent="0.3">
      <c r="B128" s="48"/>
      <c r="C128" s="3">
        <v>108</v>
      </c>
      <c r="D128" s="3">
        <v>15250</v>
      </c>
      <c r="E128" s="3">
        <f t="shared" si="10"/>
        <v>11500</v>
      </c>
      <c r="F128" s="7" t="s">
        <v>26</v>
      </c>
      <c r="G128" s="7">
        <f t="shared" si="11"/>
        <v>14250</v>
      </c>
      <c r="H128" s="27">
        <f t="shared" si="12"/>
        <v>16250</v>
      </c>
    </row>
    <row r="129" spans="2:9" x14ac:dyDescent="0.3">
      <c r="B129" s="48"/>
      <c r="C129" s="3">
        <v>109</v>
      </c>
      <c r="D129" s="3">
        <v>15375</v>
      </c>
      <c r="E129" s="3">
        <f t="shared" si="10"/>
        <v>11625</v>
      </c>
      <c r="F129" s="7" t="s">
        <v>26</v>
      </c>
      <c r="G129" s="7">
        <f t="shared" si="11"/>
        <v>14375</v>
      </c>
      <c r="H129" s="27">
        <f t="shared" si="12"/>
        <v>16375</v>
      </c>
    </row>
    <row r="130" spans="2:9" x14ac:dyDescent="0.3">
      <c r="B130" s="48"/>
      <c r="C130" s="3">
        <v>110</v>
      </c>
      <c r="D130" s="3">
        <v>15500</v>
      </c>
      <c r="E130" s="3">
        <f t="shared" si="10"/>
        <v>11750</v>
      </c>
      <c r="F130" s="7" t="s">
        <v>26</v>
      </c>
      <c r="G130" s="7">
        <f t="shared" si="11"/>
        <v>14500</v>
      </c>
      <c r="H130" s="27">
        <f t="shared" si="12"/>
        <v>16500</v>
      </c>
    </row>
    <row r="131" spans="2:9" x14ac:dyDescent="0.3">
      <c r="B131" s="48"/>
      <c r="C131" s="3">
        <v>111</v>
      </c>
      <c r="D131" s="3">
        <v>15625</v>
      </c>
      <c r="E131" s="3">
        <f t="shared" si="10"/>
        <v>11875</v>
      </c>
      <c r="F131" s="7" t="s">
        <v>26</v>
      </c>
      <c r="G131" s="7">
        <f t="shared" si="11"/>
        <v>14625</v>
      </c>
      <c r="H131" s="27">
        <f t="shared" si="12"/>
        <v>16625</v>
      </c>
    </row>
    <row r="132" spans="2:9" x14ac:dyDescent="0.3">
      <c r="B132" s="48"/>
      <c r="C132" s="3">
        <v>112</v>
      </c>
      <c r="D132" s="3">
        <v>15750</v>
      </c>
      <c r="E132" s="3">
        <f t="shared" si="10"/>
        <v>12000</v>
      </c>
      <c r="F132" s="7" t="s">
        <v>26</v>
      </c>
      <c r="G132" s="7">
        <f t="shared" si="11"/>
        <v>14750</v>
      </c>
      <c r="H132" s="27">
        <f t="shared" si="12"/>
        <v>16750</v>
      </c>
    </row>
    <row r="133" spans="2:9" x14ac:dyDescent="0.3">
      <c r="B133" s="48"/>
      <c r="C133" s="3">
        <v>113</v>
      </c>
      <c r="D133" s="3">
        <v>15875</v>
      </c>
      <c r="E133" s="3">
        <f t="shared" si="10"/>
        <v>12125</v>
      </c>
      <c r="F133" s="7" t="s">
        <v>26</v>
      </c>
      <c r="G133" s="7">
        <f t="shared" si="11"/>
        <v>14875</v>
      </c>
      <c r="H133" s="27">
        <f t="shared" si="12"/>
        <v>16875</v>
      </c>
    </row>
    <row r="134" spans="2:9" x14ac:dyDescent="0.3">
      <c r="B134" s="48"/>
      <c r="C134" s="3">
        <v>114</v>
      </c>
      <c r="D134" s="3">
        <v>16000</v>
      </c>
      <c r="E134" s="3">
        <f t="shared" si="10"/>
        <v>12250</v>
      </c>
      <c r="F134" s="7" t="s">
        <v>26</v>
      </c>
      <c r="G134" s="7">
        <f t="shared" si="11"/>
        <v>15000</v>
      </c>
      <c r="H134" s="27">
        <f t="shared" si="12"/>
        <v>17000</v>
      </c>
    </row>
    <row r="135" spans="2:9" x14ac:dyDescent="0.3">
      <c r="B135" s="48"/>
      <c r="C135" s="3">
        <v>115</v>
      </c>
      <c r="D135" s="3">
        <v>16125</v>
      </c>
      <c r="E135" s="3">
        <f t="shared" si="10"/>
        <v>12375</v>
      </c>
      <c r="F135" s="7" t="s">
        <v>26</v>
      </c>
      <c r="G135" s="7">
        <f t="shared" si="11"/>
        <v>15125</v>
      </c>
      <c r="H135" s="27">
        <f t="shared" si="12"/>
        <v>17125</v>
      </c>
    </row>
    <row r="136" spans="2:9" x14ac:dyDescent="0.3">
      <c r="B136" s="48"/>
      <c r="C136" s="3">
        <v>116</v>
      </c>
      <c r="D136" s="3">
        <v>16250</v>
      </c>
      <c r="E136" s="3">
        <f t="shared" si="10"/>
        <v>12500</v>
      </c>
      <c r="F136" s="7" t="s">
        <v>26</v>
      </c>
      <c r="G136" s="7">
        <f t="shared" si="11"/>
        <v>15250</v>
      </c>
      <c r="H136" s="27">
        <f t="shared" si="12"/>
        <v>17250</v>
      </c>
    </row>
    <row r="137" spans="2:9" x14ac:dyDescent="0.3">
      <c r="B137" s="48"/>
      <c r="C137" s="3">
        <v>117</v>
      </c>
      <c r="D137" s="3">
        <v>16375</v>
      </c>
      <c r="E137" s="3">
        <f t="shared" si="10"/>
        <v>12625</v>
      </c>
      <c r="F137" s="7" t="s">
        <v>26</v>
      </c>
      <c r="G137" s="7">
        <f t="shared" si="11"/>
        <v>15375</v>
      </c>
      <c r="H137" s="27">
        <f t="shared" si="12"/>
        <v>17375</v>
      </c>
    </row>
    <row r="138" spans="2:9" x14ac:dyDescent="0.3">
      <c r="B138" s="48"/>
      <c r="C138" s="3">
        <v>118</v>
      </c>
      <c r="D138" s="3">
        <v>16500</v>
      </c>
      <c r="E138" s="3">
        <f t="shared" si="10"/>
        <v>12750</v>
      </c>
      <c r="F138" s="7" t="s">
        <v>26</v>
      </c>
      <c r="G138" s="7">
        <f t="shared" si="11"/>
        <v>15500</v>
      </c>
      <c r="H138" s="27">
        <f t="shared" si="12"/>
        <v>17500</v>
      </c>
    </row>
    <row r="139" spans="2:9" x14ac:dyDescent="0.3">
      <c r="B139" s="48"/>
      <c r="C139" s="3">
        <v>119</v>
      </c>
      <c r="D139" s="3">
        <v>16625</v>
      </c>
      <c r="E139" s="3">
        <f t="shared" si="10"/>
        <v>12875</v>
      </c>
      <c r="F139" s="7" t="s">
        <v>26</v>
      </c>
      <c r="G139" s="7">
        <f t="shared" si="11"/>
        <v>15625</v>
      </c>
      <c r="H139" s="27">
        <f t="shared" si="12"/>
        <v>17625</v>
      </c>
    </row>
    <row r="140" spans="2:9" x14ac:dyDescent="0.3">
      <c r="B140" s="48"/>
      <c r="C140" s="3">
        <v>120</v>
      </c>
      <c r="D140" s="3">
        <v>16750</v>
      </c>
      <c r="E140" s="3">
        <f t="shared" si="10"/>
        <v>13000</v>
      </c>
      <c r="F140" s="7" t="s">
        <v>26</v>
      </c>
      <c r="G140" s="7">
        <f t="shared" si="11"/>
        <v>15750</v>
      </c>
      <c r="H140" s="27">
        <f t="shared" si="12"/>
        <v>17750</v>
      </c>
    </row>
    <row r="141" spans="2:9" x14ac:dyDescent="0.3">
      <c r="B141" s="48"/>
      <c r="C141" s="3">
        <v>121</v>
      </c>
      <c r="D141" s="3">
        <v>16875</v>
      </c>
      <c r="E141" s="3">
        <f t="shared" si="10"/>
        <v>13125</v>
      </c>
      <c r="F141" s="7" t="s">
        <v>26</v>
      </c>
      <c r="G141" s="7">
        <f t="shared" si="11"/>
        <v>15875</v>
      </c>
      <c r="H141" s="27">
        <f t="shared" si="12"/>
        <v>17875</v>
      </c>
    </row>
    <row r="142" spans="2:9" x14ac:dyDescent="0.3">
      <c r="B142" s="48"/>
      <c r="C142" s="3">
        <v>122</v>
      </c>
      <c r="D142" s="18">
        <v>17000</v>
      </c>
      <c r="E142" s="18">
        <f t="shared" si="10"/>
        <v>13250</v>
      </c>
      <c r="F142" s="7" t="s">
        <v>26</v>
      </c>
      <c r="G142" s="18">
        <f t="shared" si="11"/>
        <v>16000</v>
      </c>
      <c r="H142" s="22">
        <f t="shared" si="12"/>
        <v>18000</v>
      </c>
      <c r="I142" s="44" t="s">
        <v>65</v>
      </c>
    </row>
    <row r="143" spans="2:9" x14ac:dyDescent="0.3">
      <c r="B143" s="48"/>
      <c r="C143" s="3">
        <v>123</v>
      </c>
      <c r="D143" s="3">
        <v>17125</v>
      </c>
      <c r="E143" s="3">
        <f t="shared" si="10"/>
        <v>13375</v>
      </c>
      <c r="F143" s="7" t="s">
        <v>26</v>
      </c>
      <c r="G143" s="7">
        <f t="shared" si="11"/>
        <v>16125</v>
      </c>
      <c r="H143" s="27">
        <f t="shared" si="12"/>
        <v>18000</v>
      </c>
    </row>
    <row r="144" spans="2:9" x14ac:dyDescent="0.3">
      <c r="B144" s="48"/>
      <c r="C144" s="3">
        <v>124</v>
      </c>
      <c r="D144" s="3">
        <v>17250</v>
      </c>
      <c r="E144" s="3">
        <f t="shared" si="10"/>
        <v>13500</v>
      </c>
      <c r="F144" s="7" t="s">
        <v>26</v>
      </c>
      <c r="G144" s="7">
        <f t="shared" si="11"/>
        <v>16250</v>
      </c>
      <c r="H144" s="27">
        <f t="shared" si="12"/>
        <v>18000</v>
      </c>
    </row>
    <row r="145" spans="2:8" x14ac:dyDescent="0.3">
      <c r="B145" s="48"/>
      <c r="C145" s="3">
        <v>125</v>
      </c>
      <c r="D145" s="3">
        <v>17375</v>
      </c>
      <c r="E145" s="3">
        <f t="shared" si="10"/>
        <v>13625</v>
      </c>
      <c r="F145" s="7" t="s">
        <v>26</v>
      </c>
      <c r="G145" s="7">
        <f t="shared" si="11"/>
        <v>16375</v>
      </c>
      <c r="H145" s="27">
        <f t="shared" si="12"/>
        <v>18000</v>
      </c>
    </row>
    <row r="146" spans="2:8" x14ac:dyDescent="0.3">
      <c r="B146" s="48"/>
      <c r="C146" s="3">
        <v>126</v>
      </c>
      <c r="D146" s="3">
        <v>17500</v>
      </c>
      <c r="E146" s="3">
        <f t="shared" si="10"/>
        <v>13750</v>
      </c>
      <c r="F146" s="7" t="s">
        <v>26</v>
      </c>
      <c r="G146" s="7">
        <f t="shared" si="11"/>
        <v>16500</v>
      </c>
      <c r="H146" s="27">
        <f t="shared" si="12"/>
        <v>18000</v>
      </c>
    </row>
    <row r="147" spans="2:8" x14ac:dyDescent="0.3">
      <c r="B147" s="48"/>
      <c r="C147" s="3">
        <v>127</v>
      </c>
      <c r="D147" s="3">
        <v>17625</v>
      </c>
      <c r="E147" s="3">
        <f>D147-$C$7</f>
        <v>13875</v>
      </c>
      <c r="F147" s="7" t="s">
        <v>26</v>
      </c>
      <c r="G147" s="7">
        <f t="shared" si="11"/>
        <v>16625</v>
      </c>
      <c r="H147" s="27">
        <f t="shared" si="12"/>
        <v>18000</v>
      </c>
    </row>
    <row r="148" spans="2:8" x14ac:dyDescent="0.3">
      <c r="B148" s="48"/>
      <c r="C148" s="3">
        <v>128</v>
      </c>
      <c r="D148" s="3">
        <v>17750</v>
      </c>
      <c r="E148" s="3">
        <f t="shared" si="10"/>
        <v>14000</v>
      </c>
      <c r="F148" s="7" t="s">
        <v>26</v>
      </c>
      <c r="G148" s="7">
        <f t="shared" si="11"/>
        <v>16750</v>
      </c>
      <c r="H148" s="27">
        <f t="shared" si="12"/>
        <v>18000</v>
      </c>
    </row>
    <row r="149" spans="2:8" x14ac:dyDescent="0.3">
      <c r="B149" s="48"/>
      <c r="C149" s="3">
        <v>129</v>
      </c>
      <c r="D149" s="3">
        <v>17875</v>
      </c>
      <c r="E149" s="3">
        <f t="shared" si="10"/>
        <v>14125</v>
      </c>
      <c r="F149" s="7" t="s">
        <v>26</v>
      </c>
      <c r="G149" s="7">
        <f t="shared" si="11"/>
        <v>16875</v>
      </c>
      <c r="H149" s="27">
        <f t="shared" si="12"/>
        <v>18000</v>
      </c>
    </row>
    <row r="150" spans="2:8" x14ac:dyDescent="0.3">
      <c r="B150" s="48"/>
      <c r="C150" s="3">
        <v>130</v>
      </c>
      <c r="D150" s="3">
        <v>18000</v>
      </c>
      <c r="E150" s="3">
        <f t="shared" si="10"/>
        <v>14250</v>
      </c>
      <c r="F150" s="7" t="s">
        <v>26</v>
      </c>
      <c r="G150" s="7">
        <f t="shared" si="11"/>
        <v>17000</v>
      </c>
      <c r="H150" s="27">
        <f t="shared" si="12"/>
        <v>18000</v>
      </c>
    </row>
    <row r="151" spans="2:8" x14ac:dyDescent="0.3">
      <c r="B151" s="48"/>
      <c r="C151" s="3">
        <v>131</v>
      </c>
      <c r="D151" s="3">
        <v>18125</v>
      </c>
      <c r="E151" s="3">
        <f t="shared" si="10"/>
        <v>14375</v>
      </c>
      <c r="F151" s="7" t="s">
        <v>26</v>
      </c>
      <c r="G151" s="7">
        <f t="shared" si="11"/>
        <v>17125</v>
      </c>
      <c r="H151" s="27">
        <f t="shared" si="12"/>
        <v>18000</v>
      </c>
    </row>
    <row r="152" spans="2:8" x14ac:dyDescent="0.3">
      <c r="B152" s="48"/>
      <c r="C152" s="3">
        <v>132</v>
      </c>
      <c r="D152" s="3">
        <v>18250</v>
      </c>
      <c r="E152" s="3">
        <f t="shared" si="10"/>
        <v>14500</v>
      </c>
      <c r="F152" s="7" t="s">
        <v>26</v>
      </c>
      <c r="G152" s="7">
        <f t="shared" si="11"/>
        <v>17250</v>
      </c>
      <c r="H152" s="27">
        <f t="shared" si="12"/>
        <v>18000</v>
      </c>
    </row>
    <row r="153" spans="2:8" x14ac:dyDescent="0.3">
      <c r="B153" s="48"/>
      <c r="C153" s="3">
        <v>133</v>
      </c>
      <c r="D153" s="3">
        <v>18375</v>
      </c>
      <c r="E153" s="3">
        <f t="shared" si="10"/>
        <v>14625</v>
      </c>
      <c r="F153" s="7" t="s">
        <v>26</v>
      </c>
      <c r="G153" s="7">
        <f t="shared" si="11"/>
        <v>17375</v>
      </c>
      <c r="H153" s="27">
        <f t="shared" si="12"/>
        <v>18000</v>
      </c>
    </row>
    <row r="154" spans="2:8" x14ac:dyDescent="0.3">
      <c r="B154" s="48"/>
      <c r="C154" s="3">
        <v>134</v>
      </c>
      <c r="D154" s="3">
        <v>18500</v>
      </c>
      <c r="E154" s="3">
        <f t="shared" si="10"/>
        <v>14750</v>
      </c>
      <c r="F154" s="7" t="s">
        <v>26</v>
      </c>
      <c r="G154" s="7">
        <f t="shared" si="11"/>
        <v>17500</v>
      </c>
      <c r="H154" s="27">
        <f t="shared" si="12"/>
        <v>18000</v>
      </c>
    </row>
    <row r="155" spans="2:8" x14ac:dyDescent="0.3">
      <c r="B155" s="48"/>
      <c r="C155" s="3">
        <v>135</v>
      </c>
      <c r="D155" s="3">
        <v>18625</v>
      </c>
      <c r="E155" s="3">
        <f t="shared" si="10"/>
        <v>14875</v>
      </c>
      <c r="F155" s="7" t="s">
        <v>26</v>
      </c>
      <c r="G155" s="7">
        <f t="shared" si="11"/>
        <v>17625</v>
      </c>
      <c r="H155" s="27">
        <f t="shared" si="12"/>
        <v>18000</v>
      </c>
    </row>
    <row r="156" spans="2:8" x14ac:dyDescent="0.3">
      <c r="B156" s="48"/>
      <c r="C156" s="3">
        <v>136</v>
      </c>
      <c r="D156" s="3">
        <v>18750</v>
      </c>
      <c r="E156" s="3">
        <f t="shared" si="10"/>
        <v>15000</v>
      </c>
      <c r="F156" s="7" t="s">
        <v>26</v>
      </c>
      <c r="G156" s="7">
        <f t="shared" ref="G156:G157" si="13">MAX(6000,D156-1000)</f>
        <v>17750</v>
      </c>
      <c r="H156" s="27">
        <f t="shared" ref="H156:H157" si="14">MIN(18000,D156+1000)</f>
        <v>18000</v>
      </c>
    </row>
    <row r="157" spans="2:8" ht="15" thickBot="1" x14ac:dyDescent="0.35">
      <c r="B157" s="52"/>
      <c r="C157" s="23">
        <v>137</v>
      </c>
      <c r="D157" s="23">
        <v>18875</v>
      </c>
      <c r="E157" s="23">
        <f t="shared" si="10"/>
        <v>15125</v>
      </c>
      <c r="F157" s="28" t="s">
        <v>26</v>
      </c>
      <c r="G157" s="28">
        <f t="shared" si="13"/>
        <v>17875</v>
      </c>
      <c r="H157" s="29">
        <f t="shared" si="14"/>
        <v>18000</v>
      </c>
    </row>
    <row r="158" spans="2:8" x14ac:dyDescent="0.3">
      <c r="D158" s="34"/>
      <c r="E158" s="34"/>
      <c r="F158" s="35"/>
      <c r="G158" s="35"/>
      <c r="H158" s="35"/>
    </row>
    <row r="159" spans="2:8" x14ac:dyDescent="0.3">
      <c r="D159" s="34"/>
      <c r="E159" s="34"/>
      <c r="F159" s="35"/>
      <c r="G159" s="35"/>
      <c r="H159" s="35"/>
    </row>
  </sheetData>
  <mergeCells count="11">
    <mergeCell ref="E11:H11"/>
    <mergeCell ref="B61:B115"/>
    <mergeCell ref="B23:B60"/>
    <mergeCell ref="B116:B157"/>
    <mergeCell ref="B11:D11"/>
    <mergeCell ref="B13:B14"/>
    <mergeCell ref="C13:C14"/>
    <mergeCell ref="D13:D14"/>
    <mergeCell ref="B16:B17"/>
    <mergeCell ref="C16:C17"/>
    <mergeCell ref="D16:D17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Amihai Ben Nun</dc:creator>
  <cp:lastModifiedBy>Amihai Ben Nun</cp:lastModifiedBy>
  <dcterms:created xsi:type="dcterms:W3CDTF">2025-12-14T00:27:39Z</dcterms:created>
  <dcterms:modified xsi:type="dcterms:W3CDTF">2026-01-13T13:56:59Z</dcterms:modified>
</cp:coreProperties>
</file>