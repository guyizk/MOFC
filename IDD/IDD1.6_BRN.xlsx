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drawings/drawing4.xml" ContentType="application/vnd.openxmlformats-officedocument.drawing+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Git\MOFC\IDD\"/>
    </mc:Choice>
  </mc:AlternateContent>
  <xr:revisionPtr revIDLastSave="0" documentId="13_ncr:1_{F5F9A34A-A405-4B2C-ACF0-E83F7540EB6C}" xr6:coauthVersionLast="47" xr6:coauthVersionMax="47" xr10:uidLastSave="{00000000-0000-0000-0000-000000000000}"/>
  <bookViews>
    <workbookView xWindow="1020" yWindow="1995" windowWidth="26745" windowHeight="13530" firstSheet="4" activeTab="10" xr2:uid="{00000000-000D-0000-FFFF-FFFF00000000}"/>
  </bookViews>
  <sheets>
    <sheet name="Version-control" sheetId="17" r:id="rId1"/>
    <sheet name="Debug" sheetId="20" r:id="rId2"/>
    <sheet name="ICD" sheetId="19" r:id="rId3"/>
    <sheet name="General" sheetId="2" r:id="rId4"/>
    <sheet name="Status Reg" sheetId="11" r:id="rId5"/>
    <sheet name="FPGA_VER_REG" sheetId="18" r:id="rId6"/>
    <sheet name="Global config" sheetId="10" r:id="rId7"/>
    <sheet name="BIT_CONFIG" sheetId="9" r:id="rId8"/>
    <sheet name="CH_CFG" sheetId="8" r:id="rId9"/>
    <sheet name="configuration flow" sheetId="14" r:id="rId10"/>
    <sheet name="Checksum-verification" sheetId="16" r:id="rId11"/>
  </sheets>
  <definedNames>
    <definedName name="_Toc160693716" localSheetId="7">BIT_CONFIG!$E$4</definedName>
    <definedName name="_Toc160693716" localSheetId="8">CH_CFG!$E$8</definedName>
    <definedName name="_Toc160693716" localSheetId="10">'Checksum-verification'!$E$3</definedName>
    <definedName name="_Toc160693716" localSheetId="9">'configuration flow'!$E$4</definedName>
    <definedName name="_Toc160693716" localSheetId="5">FPGA_VER_REG!$E$4</definedName>
    <definedName name="_Toc160693716" localSheetId="3">General!$E$39</definedName>
    <definedName name="_Toc160693716" localSheetId="6">'Global config'!$E$4</definedName>
    <definedName name="_Toc160693716" localSheetId="2">ICD!#REF!</definedName>
    <definedName name="_Toc160693716" localSheetId="4">'Status Reg'!$E$4</definedName>
    <definedName name="_Toc160693716" localSheetId="0">'Version-control'!#REF!</definedName>
    <definedName name="_Toc160693717" localSheetId="7">BIT_CONFIG!$E$3</definedName>
    <definedName name="_Toc160693717" localSheetId="8">CH_CFG!$E$7</definedName>
    <definedName name="_Toc160693717" localSheetId="10">'Checksum-verification'!$E$2</definedName>
    <definedName name="_Toc160693717" localSheetId="9">'configuration flow'!$E$3</definedName>
    <definedName name="_Toc160693717" localSheetId="5">FPGA_VER_REG!$E$3</definedName>
    <definedName name="_Toc160693717" localSheetId="3">General!$E$38</definedName>
    <definedName name="_Toc160693717" localSheetId="6">'Global config'!$E$3</definedName>
    <definedName name="_Toc160693717" localSheetId="2">ICD!#REF!</definedName>
    <definedName name="_Toc160693717" localSheetId="4">'Status Reg'!$E$3</definedName>
    <definedName name="_Toc160693717" localSheetId="0">'Version-control'!#REF!</definedName>
    <definedName name="_Toc160693718" localSheetId="7">BIT_CONFIG!$AI$6</definedName>
    <definedName name="_Toc160693718" localSheetId="8">CH_CFG!$AI$10</definedName>
    <definedName name="_Toc160693718" localSheetId="10">'Checksum-verification'!#REF!</definedName>
    <definedName name="_Toc160693718" localSheetId="9">'configuration flow'!#REF!</definedName>
    <definedName name="_Toc160693718" localSheetId="5">FPGA_VER_REG!#REF!</definedName>
    <definedName name="_Toc160693718" localSheetId="3">General!$AI$43</definedName>
    <definedName name="_Toc160693718" localSheetId="6">'Global config'!#REF!</definedName>
    <definedName name="_Toc160693718" localSheetId="2">ICD!#REF!</definedName>
    <definedName name="_Toc160693718" localSheetId="4">'Status Reg'!#REF!</definedName>
    <definedName name="_Toc160693718" localSheetId="0">'Version-control'!#REF!</definedName>
    <definedName name="_Toc198116074" localSheetId="10">'Checksum-verification'!#REF!</definedName>
    <definedName name="_Toc198116074" localSheetId="9">'configuration flow'!$F$3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4" i="2" l="1"/>
  <c r="I45" i="2"/>
  <c r="I46" i="2"/>
  <c r="I47" i="2"/>
  <c r="I48" i="2"/>
  <c r="I49" i="2"/>
  <c r="I50" i="2"/>
  <c r="I51" i="2"/>
  <c r="I52" i="2"/>
  <c r="I53" i="2"/>
  <c r="I54" i="2"/>
  <c r="I55" i="2"/>
  <c r="I56" i="2"/>
  <c r="I57" i="2"/>
  <c r="I58" i="2"/>
  <c r="I59" i="2"/>
  <c r="I60" i="2"/>
  <c r="I43" i="2"/>
  <c r="G6" i="20"/>
  <c r="G28" i="20"/>
  <c r="G33" i="20" l="1"/>
  <c r="G22" i="20"/>
  <c r="G21" i="20"/>
  <c r="G20" i="20"/>
  <c r="G19" i="20"/>
  <c r="G18" i="20"/>
  <c r="G17" i="20"/>
  <c r="G16" i="20"/>
  <c r="G15" i="20"/>
  <c r="G14" i="20"/>
  <c r="G13" i="20"/>
  <c r="G12" i="20"/>
  <c r="G11" i="20"/>
  <c r="G60" i="20"/>
  <c r="G56" i="20"/>
  <c r="G37" i="20"/>
  <c r="I3" i="18"/>
  <c r="I3" i="11" l="1"/>
  <c r="I3" i="10"/>
  <c r="I3" i="9"/>
  <c r="I8" i="2"/>
  <c r="I7" i="2"/>
  <c r="I6" i="8"/>
  <c r="I5" i="8"/>
  <c r="I4" i="8"/>
  <c r="I3" i="8"/>
  <c r="I36" i="2"/>
  <c r="I35" i="2"/>
  <c r="I14" i="2"/>
  <c r="I13" i="2"/>
  <c r="I11" i="2"/>
  <c r="I10" i="2"/>
  <c r="I9" i="2"/>
  <c r="I6" i="2"/>
  <c r="I5" i="2"/>
  <c r="I4" i="2"/>
  <c r="I3" i="2"/>
  <c r="I19" i="2" l="1"/>
  <c r="I16" i="2"/>
  <c r="I17" i="2" l="1"/>
  <c r="I22" i="2"/>
  <c r="I25" i="2" l="1"/>
  <c r="I20" i="2"/>
  <c r="I23" i="2" l="1"/>
  <c r="I28" i="2"/>
  <c r="I34" i="2" l="1"/>
  <c r="I31" i="2"/>
  <c r="I26" i="2"/>
  <c r="I32" i="2" l="1"/>
  <c r="I29" i="2"/>
</calcChain>
</file>

<file path=xl/sharedStrings.xml><?xml version="1.0" encoding="utf-8"?>
<sst xmlns="http://schemas.openxmlformats.org/spreadsheetml/2006/main" count="868" uniqueCount="415">
  <si>
    <t>DCA1</t>
  </si>
  <si>
    <t>DCA2</t>
  </si>
  <si>
    <t>2.75-4.75</t>
  </si>
  <si>
    <t>2-6</t>
  </si>
  <si>
    <t>6-18</t>
  </si>
  <si>
    <t>OPMODE</t>
  </si>
  <si>
    <t>A[6:0]</t>
  </si>
  <si>
    <t>D[23:0]</t>
  </si>
  <si>
    <t>[30:24]</t>
  </si>
  <si>
    <t>R/W</t>
  </si>
  <si>
    <t>Status</t>
  </si>
  <si>
    <t>LCK1</t>
  </si>
  <si>
    <t>LCK2</t>
  </si>
  <si>
    <t>LCK3</t>
  </si>
  <si>
    <t>LCK4</t>
  </si>
  <si>
    <t>LCk5</t>
  </si>
  <si>
    <t>LCk6</t>
  </si>
  <si>
    <t>LCK7</t>
  </si>
  <si>
    <t>LCK8</t>
  </si>
  <si>
    <t>BLCK</t>
  </si>
  <si>
    <t>ALCK</t>
  </si>
  <si>
    <t>BIT-Config</t>
  </si>
  <si>
    <t>Global config register</t>
  </si>
  <si>
    <t>Temperature</t>
  </si>
  <si>
    <t>VER_ID</t>
  </si>
  <si>
    <t>VER-YEAR</t>
  </si>
  <si>
    <t>VER-MONTH</t>
  </si>
  <si>
    <t>VER-DAY</t>
  </si>
  <si>
    <t>RO</t>
  </si>
  <si>
    <t>TEST_REG</t>
  </si>
  <si>
    <t>DATA[23:0]</t>
  </si>
  <si>
    <t>LOAD</t>
  </si>
  <si>
    <t>LOAD_RF_SETUP</t>
  </si>
  <si>
    <t>CHKSUM</t>
  </si>
  <si>
    <t>WO</t>
  </si>
  <si>
    <t>CHECKSUM</t>
  </si>
  <si>
    <t>RFRDY</t>
  </si>
  <si>
    <t>FPGA_VER_REG</t>
  </si>
  <si>
    <t>SERIAL_NUM</t>
  </si>
  <si>
    <t>Command</t>
  </si>
  <si>
    <t>PGOOD</t>
  </si>
  <si>
    <t>addr</t>
  </si>
  <si>
    <t>CH1_CFG_REG1</t>
  </si>
  <si>
    <t>….</t>
  </si>
  <si>
    <t>CH2_CFG_REG1</t>
  </si>
  <si>
    <t>CH3_CFG_REG1</t>
  </si>
  <si>
    <t>CH4_CFG_REG1</t>
  </si>
  <si>
    <t>CH5_CFG_REG1</t>
  </si>
  <si>
    <t>CH6_CFG_REG1</t>
  </si>
  <si>
    <t>CK_STAT</t>
  </si>
  <si>
    <t>CH7_CFG_REG1</t>
  </si>
  <si>
    <t>CH8_CFG_REG1</t>
  </si>
  <si>
    <t>LO2_LCK</t>
  </si>
  <si>
    <t>0.35-4.75</t>
  </si>
  <si>
    <t>0x0</t>
  </si>
  <si>
    <t>0x1</t>
  </si>
  <si>
    <t>0x2</t>
  </si>
  <si>
    <t>0x3</t>
  </si>
  <si>
    <t>ANT</t>
  </si>
  <si>
    <t>BIT</t>
  </si>
  <si>
    <t>RFIBS</t>
  </si>
  <si>
    <t>IFOBS</t>
  </si>
  <si>
    <t>TF1_VSW</t>
  </si>
  <si>
    <t>TF1_VL</t>
  </si>
  <si>
    <t>TF1_VH</t>
  </si>
  <si>
    <t>TF3_VH</t>
  </si>
  <si>
    <t>TF3_VL</t>
  </si>
  <si>
    <t>TF3_VSW</t>
  </si>
  <si>
    <t>TF2_HPF_STATE</t>
  </si>
  <si>
    <t>TF2_LPF_STATE</t>
  </si>
  <si>
    <t>Fieldname</t>
  </si>
  <si>
    <t>Description</t>
  </si>
  <si>
    <t>RF IN Source: Select between Bit and ANT
directly control SW5</t>
  </si>
  <si>
    <t>RFISRC</t>
  </si>
  <si>
    <t>RF Input Band select:
contolr switch 2,3,4 see table below</t>
  </si>
  <si>
    <t>IF Out Band select: 
directly control SW5</t>
  </si>
  <si>
    <t>BITS</t>
  </si>
  <si>
    <t>[0]</t>
  </si>
  <si>
    <t>[2:1]</t>
  </si>
  <si>
    <t>[3]</t>
  </si>
  <si>
    <t>[9:4]</t>
  </si>
  <si>
    <t>[15:10]</t>
  </si>
  <si>
    <t>RSVD</t>
  </si>
  <si>
    <t>[1:0]</t>
  </si>
  <si>
    <t>Directly control the TF1 switch control pins VSW2,VSW1 details are in am3156 datasheet</t>
  </si>
  <si>
    <t>Directly control the TF1 Low pass filter  control pins VL4,VL3,VL2,VL1 , details are in am3156 datasheet</t>
  </si>
  <si>
    <t>Directly control the TF1 High pass filter  control pins VH4,VH3,VH2,VH1 , details are in am3156 datasheet</t>
  </si>
  <si>
    <t>Directly control the TF3 switch control pins VSW2,VSW1 details are in am3156 datasheet</t>
  </si>
  <si>
    <t>Directly control the TF3 Low pass filter  control pins VL4,VL3,VL2,VL1 , details are in am3156 datasheet</t>
  </si>
  <si>
    <t>Directly control the TF3 High pass filter  control pins VH4,VH3,VH2,VH1 , details are in am3156 datasheet</t>
  </si>
  <si>
    <t>[5:2]</t>
  </si>
  <si>
    <t>[9:6]</t>
  </si>
  <si>
    <t>[11:10]</t>
  </si>
  <si>
    <t>[23:20]</t>
  </si>
  <si>
    <t>select the HPF state 0 to 15, each stae increment the cutoff frequency of the selcted HPF e.g for HPF1 state 0 assign the cutoff frequency to 1.75 GHz, state15 to 3.55 Ghz (1.75+0.12*15)</t>
  </si>
  <si>
    <t>select TF2 LPF band LPF1/ LPF2/ LPF3/ LPF4, for more details at admv8818-ep datasheet</t>
  </si>
  <si>
    <t>select the LPF state 0 to 15, each state increment the cutoff frequency of the selcted LPF e.g for LPF1 state 0 assign the cutoff frequency to 2.05 GHz, state15 to 3.85 Ghz (2.05+0.12*15)</t>
  </si>
  <si>
    <t>select TF2 HPF band HPF1/HPF2/HPF3/HPF4, for more details at admv8818-ep datasheet</t>
  </si>
  <si>
    <t>Reserved bits, in write assign to 0's, in read  return 0's</t>
  </si>
  <si>
    <t>LO_PDWN</t>
  </si>
  <si>
    <t>LO_FREQ</t>
  </si>
  <si>
    <t>[2:0]</t>
  </si>
  <si>
    <t>0x4</t>
  </si>
  <si>
    <t>LPF Bypass</t>
  </si>
  <si>
    <t>LPF1: 2.05-3.85 GHz, LSB 0.12 GHZ</t>
  </si>
  <si>
    <t>LPF2: 3.35-7.25 GHz, LSB 0.26 GHZ</t>
  </si>
  <si>
    <t>LPF3: 7.0-13.0 GHz, LSB 0.36 GHZ</t>
  </si>
  <si>
    <t>LPF4: 12.55-18.85 GHz, LSB 0.49 GHZ</t>
  </si>
  <si>
    <t>HPF Bypass</t>
  </si>
  <si>
    <t>HPF1: 1.75-3.55 GHz, LSB 0.12 GHZ</t>
  </si>
  <si>
    <t>HPF2: 3.40-7.25 GHz, LSB 0.26 GHZ</t>
  </si>
  <si>
    <t>HPF3: 6.6-12.0 GHz, LSB 0.36 GHZ</t>
  </si>
  <si>
    <t>HPF4: 12.5-19.9 GHz, LSB 0.49 GHZ</t>
  </si>
  <si>
    <t>TF2_LPF_SW</t>
  </si>
  <si>
    <t>TF2_HPF_SW</t>
  </si>
  <si>
    <t>directly control attenuation of DCA1, LSB is 0.5[db] range of attenuation is betenn 0 and 31.5[db]</t>
  </si>
  <si>
    <t>TERMINATED</t>
  </si>
  <si>
    <t>CH1_CFG_REG4</t>
  </si>
  <si>
    <t>CH2_CFG_REG4</t>
  </si>
  <si>
    <t>CH3_CFG_REG4</t>
  </si>
  <si>
    <t>CH4_CFG_REG4</t>
  </si>
  <si>
    <t>CH5_CFG_REG4</t>
  </si>
  <si>
    <t>CH6_CFG_REG4</t>
  </si>
  <si>
    <t>CH7_CFG_REG4</t>
  </si>
  <si>
    <t>CH8_CFG_REG4</t>
  </si>
  <si>
    <t>channel 1 configuration icluding: DCA values, Muxes control, Tunable filter control, LO frequency</t>
  </si>
  <si>
    <t>channel 2 configuration icluding: DCA values, Muxes control, Tunable filter control, LO frequency</t>
  </si>
  <si>
    <t>channel 3 configuration icluding: DCA values, Muxes control, Tunable filter control, LO frequency</t>
  </si>
  <si>
    <t>channel 4 configuration icluding: DCA values, Muxes control, Tunable filter control, LO frequency</t>
  </si>
  <si>
    <t>channel 5 configuration icluding: DCA values, Muxes control, Tunable filter control, LO frequency</t>
  </si>
  <si>
    <t>channel 6 configuration icluding: DCA values, Muxes control, Tunable filter control, LO frequency</t>
  </si>
  <si>
    <t>channel 7 configuration icluding: DCA values, Muxes control, Tunable filter control, LO frequency</t>
  </si>
  <si>
    <t>channel 8 configuration icluding: DCA values, Muxes control, Tunable filter control, LO frequency</t>
  </si>
  <si>
    <t>Pls/CW</t>
  </si>
  <si>
    <t>CFGREG1</t>
  </si>
  <si>
    <t>CFGREG2</t>
  </si>
  <si>
    <t>CFGREG3</t>
  </si>
  <si>
    <t>CFGREG4</t>
  </si>
  <si>
    <t>[21:16]</t>
  </si>
  <si>
    <t>CW</t>
  </si>
  <si>
    <t>INT/EXT</t>
  </si>
  <si>
    <t>PLS</t>
  </si>
  <si>
    <t>INTERNAL BIT</t>
  </si>
  <si>
    <t>EXTERNAL BIT</t>
  </si>
  <si>
    <t>CW ot pulse mode, incase of Pulse mode Pulsewidth and PRI are defined in global cobfig register</t>
  </si>
  <si>
    <t>PM_PWID</t>
  </si>
  <si>
    <t>PM_PRI</t>
  </si>
  <si>
    <r>
      <t xml:space="preserve"> dictates how channel configurations are applied:
</t>
    </r>
    <r>
      <rPr>
        <b/>
        <sz val="11"/>
        <color theme="1"/>
        <rFont val="Arial"/>
        <family val="2"/>
        <scheme val="minor"/>
      </rPr>
      <t>Single Channel Mode (0x0)</t>
    </r>
    <r>
      <rPr>
        <sz val="11"/>
        <color theme="1"/>
        <rFont val="Arial"/>
        <family val="2"/>
        <scheme val="minor"/>
      </rPr>
      <t xml:space="preserve">: Each of the eight channels is individually configured by the master.
</t>
    </r>
    <r>
      <rPr>
        <b/>
        <sz val="11"/>
        <color theme="1"/>
        <rFont val="Arial"/>
        <family val="2"/>
        <scheme val="minor"/>
      </rPr>
      <t>Common Quad Mode (0x1)</t>
    </r>
    <r>
      <rPr>
        <sz val="11"/>
        <color theme="1"/>
        <rFont val="Arial"/>
        <family val="2"/>
        <scheme val="minor"/>
      </rPr>
      <t xml:space="preserve">: The master fills configurations for channels 1 and 2. Channel 1’s configuration is used for channels 2, 3, and 4, and channel 2’s configuration is used for channels 6, 7, and 8.
</t>
    </r>
    <r>
      <rPr>
        <b/>
        <sz val="11"/>
        <color theme="1"/>
        <rFont val="Arial"/>
        <family val="2"/>
        <scheme val="minor"/>
      </rPr>
      <t>Common Octal Mode (0x2)</t>
    </r>
    <r>
      <rPr>
        <sz val="11"/>
        <color theme="1"/>
        <rFont val="Arial"/>
        <family val="2"/>
        <scheme val="minor"/>
      </rPr>
      <t>: The master configures only channel 1. This configuration is then applied to all remaining channels (2-8).</t>
    </r>
  </si>
  <si>
    <t>refers to BIT pulse mode, detrmine the Pulse Widht LSB is 1[us[, default is 10 (10[us])</t>
  </si>
  <si>
    <t>[7:2]</t>
  </si>
  <si>
    <t>[19:8]</t>
  </si>
  <si>
    <t>PS</t>
  </si>
  <si>
    <t>Remarks</t>
  </si>
  <si>
    <t>See Global config tab</t>
  </si>
  <si>
    <t>See BIT_CONFIG tab</t>
  </si>
  <si>
    <t>See Status reg tab</t>
  </si>
  <si>
    <t>See configuration flow tab</t>
  </si>
  <si>
    <t>See CH_CFG tab</t>
  </si>
  <si>
    <t>DCA3</t>
  </si>
  <si>
    <t>dircectly control attenuation of DCA2 LSB is 0.5[db] range of attenuation is betenn 0 and 31.5[db]</t>
  </si>
  <si>
    <t>dircectly control attenuation of DCA3 LSB is 0.5[db] range of attenuation is betenn 0 and 31.5[db]</t>
  </si>
  <si>
    <t>Remarks/Enums</t>
  </si>
  <si>
    <t>Register value range: 0 to 50</t>
  </si>
  <si>
    <r>
      <t xml:space="preserve">Sets the transmitter output power from -30 dBm (max) to -80 dBm (min).
LSB = 1 dBm per step
</t>
    </r>
    <r>
      <rPr>
        <b/>
        <i/>
        <sz val="11"/>
        <color theme="1"/>
        <rFont val="Arial"/>
        <family val="2"/>
        <scheme val="minor"/>
      </rPr>
      <t>Output Power (dBm) = -30 - Register_Value</t>
    </r>
    <r>
      <rPr>
        <sz val="11"/>
        <color theme="1"/>
        <rFont val="Arial"/>
        <family val="2"/>
        <scheme val="minor"/>
      </rPr>
      <t xml:space="preserve">
</t>
    </r>
  </si>
  <si>
    <t xml:space="preserve">INTERNAL / EXTRENAL BIT
</t>
  </si>
  <si>
    <t>Power down LO ( 1 means power down)</t>
  </si>
  <si>
    <t>[7:0]</t>
  </si>
  <si>
    <t>[8]</t>
  </si>
  <si>
    <t>[23:9]</t>
  </si>
  <si>
    <t>Common Octal Mode (0x2):</t>
  </si>
  <si>
    <t>Single Channel Mode (0x0):</t>
  </si>
  <si>
    <t xml:space="preserve">Common Quad Mode (0x1): </t>
  </si>
  <si>
    <t>StartRegAddr</t>
  </si>
  <si>
    <t>0x7</t>
  </si>
  <si>
    <t>StopRegAddr</t>
  </si>
  <si>
    <t>Remamrks</t>
  </si>
  <si>
    <t>0x27</t>
  </si>
  <si>
    <t>message starts from BIT_CFG and ends after configuration of all 8 channels</t>
  </si>
  <si>
    <t>0xF</t>
  </si>
  <si>
    <t>0xB</t>
  </si>
  <si>
    <t>message starts from BIT_CFG and ends after configuration of 2 channels (1 and 2)</t>
  </si>
  <si>
    <t>message starts from BIT_CFG and ends after configuration of channel 1</t>
  </si>
  <si>
    <t xml:space="preserve">Checksum Verification
The checksum is calculated by performing a bitwise XOR of all bytes in the relevant fields of the message.
Checksum = XOR of each byte in the specified message fields
The set of fields included in the checksum calculation depends on the OPDOME (see below)
The calculated checksum is compared to the checksum byte in the checksum
</t>
  </si>
  <si>
    <t>Version 1.2</t>
  </si>
  <si>
    <t>add checksum tab to explain on checksum</t>
  </si>
  <si>
    <t>at BIT config register, change and clarify the setup of the BIT LO frequency</t>
  </si>
  <si>
    <t>at BIT config register,change  and clarify the way we set the power at the bit output</t>
  </si>
  <si>
    <t>at channel connfig, change and clarify the setup of the LO frequency</t>
  </si>
  <si>
    <t>at channel -config - add DCA configuration (now we have DCA1,2,3</t>
  </si>
  <si>
    <t>refers to BIT pulse mode, detrmine the Pulse PRI LSB is 1[us[, default is 100 (100[us])</t>
  </si>
  <si>
    <t>BIT_LO_FREQ</t>
  </si>
  <si>
    <t>BIT_OUT_PWR</t>
  </si>
  <si>
    <t>Param</t>
  </si>
  <si>
    <t>Bits</t>
  </si>
  <si>
    <t>Possible Values</t>
  </si>
  <si>
    <t>Read / Write bit</t>
  </si>
  <si>
    <t>Read only</t>
  </si>
  <si>
    <t>Address</t>
  </si>
  <si>
    <t>Register address bits</t>
  </si>
  <si>
    <t>Module temperature is 2’s complement format</t>
  </si>
  <si>
    <t>C9 = -55°C</t>
  </si>
  <si>
    <t>…7D = 125°C</t>
  </si>
  <si>
    <t>Power status</t>
  </si>
  <si>
    <t>0-Fail</t>
  </si>
  <si>
    <t>1-Pass</t>
  </si>
  <si>
    <t xml:space="preserve">CheckSum Status, this bit will be updated when receiving command CHECKSUM, </t>
  </si>
  <si>
    <t>0x0-IDLE</t>
  </si>
  <si>
    <t>0x1- CheckSum error</t>
  </si>
  <si>
    <t>0x2- CheckSum success</t>
  </si>
  <si>
    <t>RF ready, is asserted low after receiving command ‘LOAD_RF_SETUP’, and only after complete setup of tuner is asserted High, the RFRDY out is also reflected at the output at PIN READY</t>
  </si>
  <si>
    <t>LO2 pll lock</t>
  </si>
  <si>
    <t>0 – unlocked: 1-Locked</t>
  </si>
  <si>
    <t>Clock toward ADC lock</t>
  </si>
  <si>
    <t>Bit PLL lock</t>
  </si>
  <si>
    <t>Subunit 2 LO4 lock indication</t>
  </si>
  <si>
    <t>Subunit 2 LO3 lock indication</t>
  </si>
  <si>
    <t>LCK6</t>
  </si>
  <si>
    <t>Subunit 2 LO2 lock indication</t>
  </si>
  <si>
    <t>LCK5</t>
  </si>
  <si>
    <t>Subunit 2 LO1 lock indication</t>
  </si>
  <si>
    <t>Subunit 1 LO4 lock indication</t>
  </si>
  <si>
    <t>Subunit 1 LO3 lock indication</t>
  </si>
  <si>
    <t>Subunit 1 LO2 lock indication</t>
  </si>
  <si>
    <t>Subunit 1 LO1 lock indication</t>
  </si>
  <si>
    <t>30:24</t>
  </si>
  <si>
    <t>23:16</t>
  </si>
  <si>
    <t>14:13</t>
  </si>
  <si>
    <t>add description to FPGA VER REG</t>
  </si>
  <si>
    <t>[15:12]</t>
  </si>
  <si>
    <t>[19:16]</t>
  </si>
  <si>
    <t>[6:3]</t>
  </si>
  <si>
    <t>[9:7]</t>
  </si>
  <si>
    <t>[13:10]</t>
  </si>
  <si>
    <t>[23:14]</t>
  </si>
  <si>
    <t>Version 1.3</t>
  </si>
  <si>
    <t>Pin #</t>
  </si>
  <si>
    <t>Signal Name</t>
  </si>
  <si>
    <t>Direction</t>
  </si>
  <si>
    <t>Type</t>
  </si>
  <si>
    <t>SPI_CLK_P</t>
  </si>
  <si>
    <t>IN</t>
  </si>
  <si>
    <t>RS-422 differential</t>
  </si>
  <si>
    <t>SPI Clock Positive</t>
  </si>
  <si>
    <t>SPI_CLK_N</t>
  </si>
  <si>
    <t>SPI Clock Negative</t>
  </si>
  <si>
    <t>SPI_MOSI_P</t>
  </si>
  <si>
    <t>SPI Master Out, Slave In Positive</t>
  </si>
  <si>
    <t>SPI_MOSI_N</t>
  </si>
  <si>
    <t>SPI Master Out, Slave In Negative</t>
  </si>
  <si>
    <t>SPI_MISO_P</t>
  </si>
  <si>
    <t>OUT</t>
  </si>
  <si>
    <t>SPI Slave Out, Master In Positive</t>
  </si>
  <si>
    <t>SPI_MISO_N</t>
  </si>
  <si>
    <t>SPI Slave Out, Master In Negative</t>
  </si>
  <si>
    <t>SPI_CSN_P</t>
  </si>
  <si>
    <t>SPI Chip Select Not Positive (active low)</t>
  </si>
  <si>
    <t>SPI_CSN_N</t>
  </si>
  <si>
    <t>SPI Chip Select Not Negative</t>
  </si>
  <si>
    <t>RESETN_P</t>
  </si>
  <si>
    <t>Reset Line Positive (active low)</t>
  </si>
  <si>
    <t>RESETN_N</t>
  </si>
  <si>
    <t>Reset Line Negative</t>
  </si>
  <si>
    <t>RF_RDY_P</t>
  </si>
  <si>
    <t>RF Ready Positive</t>
  </si>
  <si>
    <t>RF_RDY_N</t>
  </si>
  <si>
    <t>RF Ready Negative</t>
  </si>
  <si>
    <t>RS422 RSVD + GND</t>
  </si>
  <si>
    <t>GPIO_RS422_OUT_P/SPI_MISO_CLK_P</t>
  </si>
  <si>
    <t>Reserved Output GPIO Positive</t>
  </si>
  <si>
    <t>GPIO_RS422_OUT_N/ SPI_MISO_CLK_P</t>
  </si>
  <si>
    <t>Reserved Output GPIO Negative</t>
  </si>
  <si>
    <t>INOUT</t>
  </si>
  <si>
    <t>Reserved Bidirectional GPIO Positive</t>
  </si>
  <si>
    <t>Reserved Bidirectional GPIO Negative</t>
  </si>
  <si>
    <t>GND_RS422</t>
  </si>
  <si>
    <t>—</t>
  </si>
  <si>
    <t>Ground</t>
  </si>
  <si>
    <t>GND for all RS-422 signals</t>
  </si>
  <si>
    <t>GND_RS232</t>
  </si>
  <si>
    <t xml:space="preserve">For RS-232 </t>
  </si>
  <si>
    <t>PWR_STATUS</t>
  </si>
  <si>
    <t>TTL out</t>
  </si>
  <si>
    <t>Indicate the power status of the MOFC 1- power on 0 – power off</t>
  </si>
  <si>
    <t>[23:22]</t>
  </si>
  <si>
    <t>GPIO_TTL</t>
  </si>
  <si>
    <t>TTL INOUT</t>
  </si>
  <si>
    <t>Reseverd bidirectional TTL</t>
  </si>
  <si>
    <t>GPIO_RS422_IO1_P</t>
  </si>
  <si>
    <t>GPIO_RS422_IO1_N</t>
  </si>
  <si>
    <t>added TAB ICD, remove RS232_DEBUG replace them with one RS422 GPIO, and one TTL GPIO</t>
  </si>
  <si>
    <t>GPIO_RS422_IO2_P</t>
  </si>
  <si>
    <t>GPIO_RS422_IO2_N</t>
  </si>
  <si>
    <t>CH_CFG tab &gt; CFR_REG1: fix error of reseverd bits from [23:16] to [23:22]</t>
  </si>
  <si>
    <t>CH_CFG tab &gt; CFR_REG2: fix IDD error of bit location fro filed TF3_VH from [5:2] to [15:12] and TF3_VL from [9:6] to 19:16</t>
  </si>
  <si>
    <t>CH_CFG tab &gt; CFR_REG3: fix IDD error of bit location for filed TF2_LPF_STATE, TF2_LPF_SW, TF2_HPF_STATE</t>
  </si>
  <si>
    <t>1.3 fix error bits (was [5:2])</t>
  </si>
  <si>
    <t>1.3fix error bits was [23:16]</t>
  </si>
  <si>
    <t>1.3 fix error bits (was [9:6])</t>
  </si>
  <si>
    <t>1.3 fix error bits (was [7:6])</t>
  </si>
  <si>
    <t>1.3 fix error bits (was [11:8])</t>
  </si>
  <si>
    <t>1.3 fix error bits was [23:13]</t>
  </si>
  <si>
    <t>RS422 SPI + Discrete (reset,RDY)</t>
  </si>
  <si>
    <t>TTL</t>
  </si>
  <si>
    <t>1.3 - instead of RS232_TXD</t>
  </si>
  <si>
    <t>1.3 - instead of RS232_RXD</t>
  </si>
  <si>
    <t>1.3 - instead of Debug enable</t>
  </si>
  <si>
    <t>IDD version control</t>
  </si>
  <si>
    <t>ICD version control</t>
  </si>
  <si>
    <t>10MHZ_LCK</t>
  </si>
  <si>
    <t>add field version 1.4</t>
  </si>
  <si>
    <t>10Mhz clock lock indication</t>
  </si>
  <si>
    <t>Version1.4</t>
  </si>
  <si>
    <t>Status Reg TAB -&gt; add filed 10MHZ_LCK</t>
  </si>
  <si>
    <t>[14:0]</t>
  </si>
  <si>
    <t>[23]</t>
  </si>
  <si>
    <t>[22]</t>
  </si>
  <si>
    <t>[15]</t>
  </si>
  <si>
    <t>Version1.5</t>
  </si>
  <si>
    <t>BIT_CFG_TAB -&gt; filed BIT_LO_FREQ changed from 10 bits to 15 bits, according to requirement fo 1[Mhz] step</t>
  </si>
  <si>
    <t>F</t>
    <phoneticPr fontId="14" type="noConversion"/>
  </si>
  <si>
    <t>Write</t>
    <phoneticPr fontId="14" type="noConversion"/>
  </si>
  <si>
    <t>WO</t>
    <phoneticPr fontId="14" type="noConversion"/>
  </si>
  <si>
    <t>RO</t>
    <phoneticPr fontId="14" type="noConversion"/>
  </si>
  <si>
    <t>29</t>
    <phoneticPr fontId="14" type="noConversion"/>
  </si>
  <si>
    <t>28</t>
    <phoneticPr fontId="14" type="noConversion"/>
  </si>
  <si>
    <t>27</t>
    <phoneticPr fontId="14" type="noConversion"/>
  </si>
  <si>
    <t>26</t>
    <phoneticPr fontId="14" type="noConversion"/>
  </si>
  <si>
    <t>25</t>
    <phoneticPr fontId="14" type="noConversion"/>
  </si>
  <si>
    <t>24</t>
    <phoneticPr fontId="14" type="noConversion"/>
  </si>
  <si>
    <t>Write Flash Length</t>
    <phoneticPr fontId="14" type="noConversion"/>
  </si>
  <si>
    <t>Reserved</t>
    <phoneticPr fontId="14" type="noConversion"/>
  </si>
  <si>
    <t>Flash Data 2-1</t>
    <phoneticPr fontId="14" type="noConversion"/>
  </si>
  <si>
    <t>Flash Data 2-2</t>
    <phoneticPr fontId="14" type="noConversion"/>
  </si>
  <si>
    <t>Flash Data 2-3</t>
    <phoneticPr fontId="14" type="noConversion"/>
  </si>
  <si>
    <t>Flash Data 3-1</t>
    <phoneticPr fontId="14" type="noConversion"/>
  </si>
  <si>
    <t>Flash Data 3-2</t>
    <phoneticPr fontId="14" type="noConversion"/>
  </si>
  <si>
    <t>Flash Data 3-3</t>
    <phoneticPr fontId="14" type="noConversion"/>
  </si>
  <si>
    <t>…</t>
    <phoneticPr fontId="14" type="noConversion"/>
  </si>
  <si>
    <t>Read</t>
    <phoneticPr fontId="14" type="noConversion"/>
  </si>
  <si>
    <t>Write addr</t>
    <phoneticPr fontId="14" type="noConversion"/>
  </si>
  <si>
    <t>Read addr</t>
    <phoneticPr fontId="14" type="noConversion"/>
  </si>
  <si>
    <t>Read Flash Start Address</t>
    <phoneticPr fontId="14" type="noConversion"/>
  </si>
  <si>
    <t>Read Flash Length</t>
    <phoneticPr fontId="14" type="noConversion"/>
  </si>
  <si>
    <t>One
Freq Step Data</t>
    <phoneticPr fontId="14" type="noConversion"/>
  </si>
  <si>
    <t>BIT Step 400Mhz - 18500Mhz, 1Mhz Step
18100, Sector 1131(0 - 1130)</t>
    <phoneticPr fontId="14" type="noConversion"/>
  </si>
  <si>
    <t>LO Step 10000Mhz - 16750Mhz, 50Mhz Step
136 x 8(LO1~8),Sector 72
Sector Addr - LO1 - 0x500~0x508(ADDR_H)
                   LO2 - 0x600~0x608(ADDR_H)
….
                   LO8 - 0xC00~0xC08(ADDR_H)</t>
    <phoneticPr fontId="14" type="noConversion"/>
  </si>
  <si>
    <t>SERIAL_NUMBER</t>
    <phoneticPr fontId="14" type="noConversion"/>
  </si>
  <si>
    <t>Write Flash Start Address
(BIT) ADDR_H 0x000 - ADDR_L 0x000 to  ADDR_H 0x000 - ADDR_L 0x01D</t>
    <phoneticPr fontId="14" type="noConversion"/>
  </si>
  <si>
    <t>One
Sector
Data</t>
    <phoneticPr fontId="14" type="noConversion"/>
  </si>
  <si>
    <t>Write Flash Sqeunce</t>
    <phoneticPr fontId="14" type="noConversion"/>
  </si>
  <si>
    <t>Read Flash Sqeunce</t>
    <phoneticPr fontId="14" type="noConversion"/>
  </si>
  <si>
    <t>BIT</t>
    <phoneticPr fontId="14" type="noConversion"/>
  </si>
  <si>
    <t>LO</t>
    <phoneticPr fontId="14" type="noConversion"/>
  </si>
  <si>
    <t>Serial Numer</t>
    <phoneticPr fontId="14" type="noConversion"/>
  </si>
  <si>
    <r>
      <t xml:space="preserve">Sirial Data Sequence
Write Flash Length = Dec 1
</t>
    </r>
    <r>
      <rPr>
        <b/>
        <sz val="11"/>
        <color rgb="FF0000FF"/>
        <rFont val="Arial"/>
        <family val="3"/>
        <charset val="129"/>
        <scheme val="minor"/>
      </rPr>
      <t>Address 0xF00_000 to 0xF00_002</t>
    </r>
    <r>
      <rPr>
        <sz val="11"/>
        <color theme="1"/>
        <rFont val="Arial"/>
        <family val="2"/>
        <scheme val="minor"/>
      </rPr>
      <t xml:space="preserve">
0xF00_000 Data Serial Number[7:0]
0xF00_001 Data Serial Number[15:8]
0xF00_002 Data Serial Number[19:16]  </t>
    </r>
    <phoneticPr fontId="14" type="noConversion"/>
  </si>
  <si>
    <t>Direct PLL Reg Setting</t>
    <phoneticPr fontId="14" type="noConversion"/>
  </si>
  <si>
    <t>Reg Address</t>
    <phoneticPr fontId="14" type="noConversion"/>
  </si>
  <si>
    <t>Reg Data</t>
    <phoneticPr fontId="14" type="noConversion"/>
  </si>
  <si>
    <t>Fixed LO Direct</t>
    <phoneticPr fontId="14" type="noConversion"/>
  </si>
  <si>
    <t>BIT Direct</t>
    <phoneticPr fontId="14" type="noConversion"/>
  </si>
  <si>
    <t>Test1 Drect</t>
    <phoneticPr fontId="14" type="noConversion"/>
  </si>
  <si>
    <t>LO1 Direct</t>
    <phoneticPr fontId="14" type="noConversion"/>
  </si>
  <si>
    <t>LO12 Direct</t>
    <phoneticPr fontId="14" type="noConversion"/>
  </si>
  <si>
    <t>LO3 Direct</t>
    <phoneticPr fontId="14" type="noConversion"/>
  </si>
  <si>
    <t>LO4 Direct</t>
    <phoneticPr fontId="14" type="noConversion"/>
  </si>
  <si>
    <t>Test2 Direct</t>
    <phoneticPr fontId="14" type="noConversion"/>
  </si>
  <si>
    <t>LO5 Direct</t>
    <phoneticPr fontId="14" type="noConversion"/>
  </si>
  <si>
    <t>LO6 Direct</t>
    <phoneticPr fontId="14" type="noConversion"/>
  </si>
  <si>
    <t>LO7 Direct</t>
    <phoneticPr fontId="14" type="noConversion"/>
  </si>
  <si>
    <t>LO8 Direct</t>
    <phoneticPr fontId="14" type="noConversion"/>
  </si>
  <si>
    <r>
      <t xml:space="preserve">BIT Step 400Mhz - 18500Mhz, 1Mhz Step
</t>
    </r>
    <r>
      <rPr>
        <b/>
        <sz val="11"/>
        <color rgb="FF0000FF"/>
        <rFont val="Arial"/>
        <family val="3"/>
        <charset val="129"/>
        <scheme val="minor"/>
      </rPr>
      <t>Address 0x000_000 to 0x46A_01D</t>
    </r>
    <r>
      <rPr>
        <sz val="11"/>
        <color theme="1"/>
        <rFont val="Arial"/>
        <family val="2"/>
        <scheme val="minor"/>
      </rPr>
      <t xml:space="preserve">
1 Sector -&gt; 16 Step
1 Step -&gt; 14Byte
543,000Byte
ex)
400Mhz -&gt; 0x000_000 to 0x000_01D
401Mhz -&gt; 0x000_100 to 0x000_11D
402Mhz -&gt; 0x000_200 to 0x000_21D
…..............
415Mhz -&gt; 0x000_F00 to 0x000_F1D
416Mhz -&gt; 0x001_000 to 0x001_01D
................
18500Mhz -&gt; 0x46A_F00 to 0x46A_F1D</t>
    </r>
    <phoneticPr fontId="14" type="noConversion"/>
  </si>
  <si>
    <r>
      <t xml:space="preserve">LO Step 10000Mhz - 16750Mhz 50Mhz Step
</t>
    </r>
    <r>
      <rPr>
        <b/>
        <sz val="11"/>
        <color rgb="FF0000FF"/>
        <rFont val="Arial"/>
        <family val="3"/>
        <charset val="129"/>
        <scheme val="minor"/>
      </rPr>
      <t>Address 0x500_000 to 0xC08_01D</t>
    </r>
    <r>
      <rPr>
        <sz val="11"/>
        <color theme="1"/>
        <rFont val="Arial"/>
        <family val="2"/>
        <scheme val="minor"/>
      </rPr>
      <t xml:space="preserve">
1 Sector -&gt; 16 Step
1 Step -&gt; 14Byte
ex)
LO_1 10000Mhz -&gt; 0x500_000 to 0x500_01D
LO_1 10050Mhz -&gt; 0x500_100 to 0x500_11D
…....................
LO_1 10800Mhz -&gt; 0x501_000 to 0x501_01D
LO_1 10850Mhz -&gt; 0x501_100 to 0x501_11D
.......................
LO_1 16700Mhz -&gt; 0x508_E00 to 0x508_E1D
LO_1 16750Mhz -&gt; 0x508_F00 to 0x508_F1D
.......................
LO_2 10000Mhz -&gt; 0x600_000 to 0x600_01D
LO_2 10050Mhz -&gt; 0x600_100 to 0x600_11D
.......................
LO_8 16700Mhz -&gt; 0xC08_E00 to 0xC08_E1D
LO_8 16750Mhz -&gt; 0xC08_F00 to 0xC08_F1D</t>
    </r>
    <phoneticPr fontId="14" type="noConversion"/>
  </si>
  <si>
    <t>Flash Data 13-3</t>
    <phoneticPr fontId="14" type="noConversion"/>
  </si>
  <si>
    <t>Flash Data 14-3</t>
    <phoneticPr fontId="14" type="noConversion"/>
  </si>
  <si>
    <t>Flash Data 13-2</t>
    <phoneticPr fontId="14" type="noConversion"/>
  </si>
  <si>
    <t>Flash Data 13-1</t>
    <phoneticPr fontId="14" type="noConversion"/>
  </si>
  <si>
    <t>Flash Data 14-1</t>
    <phoneticPr fontId="14" type="noConversion"/>
  </si>
  <si>
    <t>Flash Data 14-2</t>
    <phoneticPr fontId="14" type="noConversion"/>
  </si>
  <si>
    <t>Write Flash Conig</t>
    <phoneticPr fontId="14" type="noConversion"/>
  </si>
  <si>
    <t>R/W</t>
    <phoneticPr fontId="14" type="noConversion"/>
  </si>
  <si>
    <t>Read Config</t>
    <phoneticPr fontId="14" type="noConversion"/>
  </si>
  <si>
    <t>Writ Rdy
0 = Stay
1 = Rdy</t>
    <phoneticPr fontId="14" type="noConversion"/>
  </si>
  <si>
    <t>Flash Data 1-3(23to16)</t>
    <phoneticPr fontId="14" type="noConversion"/>
  </si>
  <si>
    <t>Flash Data 1-2(15to8)</t>
    <phoneticPr fontId="14" type="noConversion"/>
  </si>
  <si>
    <t>Flash Data 1-1(7to0)</t>
    <phoneticPr fontId="14" type="noConversion"/>
  </si>
  <si>
    <t>Flash Data 176-3</t>
    <phoneticPr fontId="14" type="noConversion"/>
  </si>
  <si>
    <t>Flash Data 176-2</t>
    <phoneticPr fontId="14" type="noConversion"/>
  </si>
  <si>
    <t>Flash Data 176-1</t>
    <phoneticPr fontId="14" type="noConversion"/>
  </si>
  <si>
    <t>Flash Data 177-1</t>
    <phoneticPr fontId="14" type="noConversion"/>
  </si>
  <si>
    <t>Flash Data 177-2</t>
    <phoneticPr fontId="14" type="noConversion"/>
  </si>
  <si>
    <t>Flash Data 177-3</t>
    <phoneticPr fontId="14" type="noConversion"/>
  </si>
  <si>
    <t>LMX2595 PLL Set Data
Registers that must be changed for each set frequency
x Flash divided into 16 steps in one sector 
+ Start Address Register
( 11 x 16 ) + 1 = 177
If the registers that need to be changed increase or decrease,
Adjust Write Flash Length
Length is set to 1 per packet in 32-bit data units</t>
    <phoneticPr fontId="14" type="noConversion"/>
  </si>
  <si>
    <t>SirialNum Flash Sqeunce</t>
    <phoneticPr fontId="14" type="noConversion"/>
  </si>
  <si>
    <t>Sirial Number</t>
    <phoneticPr fontId="14" type="noConversion"/>
  </si>
  <si>
    <t>Debug Direct Set</t>
    <phoneticPr fontId="14" type="noConversion"/>
  </si>
  <si>
    <t>Debug Diirect</t>
    <phoneticPr fontId="14" type="noConversion"/>
  </si>
  <si>
    <t>Debug</t>
    <phoneticPr fontId="14" type="noConversion"/>
  </si>
  <si>
    <t>SerialNum</t>
    <phoneticPr fontId="14" type="noConversion"/>
  </si>
  <si>
    <t>Write Flash</t>
    <phoneticPr fontId="14" type="noConversion"/>
  </si>
  <si>
    <t>Read Flash</t>
    <phoneticPr fontId="14" type="noConversion"/>
  </si>
  <si>
    <r>
      <t>Write Flash Sqeunce(</t>
    </r>
    <r>
      <rPr>
        <b/>
        <sz val="10"/>
        <color rgb="FFFF0000"/>
        <rFont val="Arial"/>
        <family val="3"/>
        <charset val="129"/>
        <scheme val="minor"/>
      </rPr>
      <t xml:space="preserve"> Please Check Debug Sheet)</t>
    </r>
    <phoneticPr fontId="14" type="noConversion"/>
  </si>
  <si>
    <r>
      <t>Read Flash Sqeunce(</t>
    </r>
    <r>
      <rPr>
        <b/>
        <sz val="10"/>
        <color rgb="FFFF0000"/>
        <rFont val="Arial"/>
        <family val="3"/>
        <charset val="129"/>
        <scheme val="minor"/>
      </rPr>
      <t xml:space="preserve"> Please Check Debug Sheet)</t>
    </r>
    <phoneticPr fontId="14" type="noConversion"/>
  </si>
  <si>
    <t>Debug Direct</t>
    <phoneticPr fontId="14" type="noConversion"/>
  </si>
  <si>
    <t>Version1.6</t>
  </si>
  <si>
    <t xml:space="preserve">
Register value range:400(400[mhz])  to 18500(18500[mhz])</t>
  </si>
  <si>
    <r>
      <t xml:space="preserve">Sets the local oscillator (LO) frequency 
LSB = 50 MHz per step
</t>
    </r>
    <r>
      <rPr>
        <b/>
        <i/>
        <sz val="11"/>
        <color theme="1"/>
        <rFont val="Arial"/>
        <family val="2"/>
        <scheme val="minor"/>
      </rPr>
      <t xml:space="preserve">BIT LO Frequency (MHz) = 10000 + (Register_Value </t>
    </r>
    <r>
      <rPr>
        <b/>
        <i/>
        <sz val="11"/>
        <color theme="5" tint="-0.249977111117893"/>
        <rFont val="Arial"/>
        <family val="2"/>
        <scheme val="minor"/>
      </rPr>
      <t>× 125</t>
    </r>
    <r>
      <rPr>
        <b/>
        <i/>
        <sz val="11"/>
        <color theme="1"/>
        <rFont val="Arial"/>
        <family val="2"/>
        <scheme val="minor"/>
      </rPr>
      <t>)</t>
    </r>
    <r>
      <rPr>
        <sz val="11"/>
        <color theme="1"/>
        <rFont val="Arial"/>
        <family val="2"/>
        <scheme val="minor"/>
      </rPr>
      <t xml:space="preserve">
Frequency range: 10000 MHz to 16750 MHz</t>
    </r>
  </si>
  <si>
    <t>1ST UNIT (PROTOTYPE)
Only 8EA FREQ.
2ND UNIT (MAIN)
125MHz STEP --&gt; Possible or Not</t>
  </si>
  <si>
    <t>0.35-2.4</t>
  </si>
  <si>
    <t>1.6 change from 0.35-4.75</t>
  </si>
  <si>
    <t>BIT_FREQ</t>
  </si>
  <si>
    <r>
      <t xml:space="preserve">Sets the BIT frequency for the bit output
LSB = **25/12.5/6.25 MHz per step
</t>
    </r>
    <r>
      <rPr>
        <sz val="11"/>
        <color rgb="FFFF0000"/>
        <rFont val="Arial"/>
        <family val="2"/>
        <scheme val="minor"/>
      </rPr>
      <t>** 25[Mhz] = min requiremnet, DesignGoal 6.25[mhz]</t>
    </r>
    <r>
      <rPr>
        <sz val="11"/>
        <color theme="1"/>
        <rFont val="Arial"/>
        <family val="2"/>
        <scheme val="minor"/>
      </rPr>
      <t xml:space="preserve">
</t>
    </r>
    <r>
      <rPr>
        <b/>
        <i/>
        <sz val="11"/>
        <color theme="1"/>
        <rFont val="Arial"/>
        <family val="2"/>
        <scheme val="minor"/>
      </rPr>
      <t>BIT LO Frequency (MHz) = Register_Value [Mhz]</t>
    </r>
    <r>
      <rPr>
        <sz val="11"/>
        <color theme="1"/>
        <rFont val="Arial"/>
        <family val="2"/>
        <scheme val="minor"/>
      </rPr>
      <t xml:space="preserve">
Frequency range: 400 MHz to 18,500 MHz</t>
    </r>
  </si>
  <si>
    <t>1.6
Changed from 1[Mhz]
BRDN consider support 6.25[Mhz] step</t>
  </si>
  <si>
    <t>BIT_CFG_TAB -&gt; filed BIT_FREQ change to 25/12.5/6.25[mhz] (25[mhz] minimum requrement, Elta request finer rstep of 12.5/6.25</t>
  </si>
  <si>
    <t>CH_CFG_TAB -&gt;LO_FREQ change to 125[mhz] steps size,</t>
  </si>
  <si>
    <r>
      <t xml:space="preserve">IFOBS -&gt; correct mistake options are {0:2.75-4.75, </t>
    </r>
    <r>
      <rPr>
        <sz val="11"/>
        <color rgb="FFFF0000"/>
        <rFont val="Arial"/>
        <family val="2"/>
        <scheme val="minor"/>
      </rPr>
      <t>1:0.35-2.4}</t>
    </r>
    <r>
      <rPr>
        <sz val="11"/>
        <color theme="1"/>
        <rFont val="Arial"/>
        <family val="2"/>
        <scheme val="minor"/>
      </rPr>
      <t xml:space="preserve">  and not  {0: 2.75-4.75, 1: 0.35-4.75}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</si>
</sst>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rial"/>
      <family val="2"/>
      <scheme val="minor"/>
    </font>
    <font>
      <sz val="11"/>
      <color theme="1"/>
      <name val="Arial"/>
      <family val="2"/>
      <scheme val="minor"/>
    </font>
    <font>
      <sz val="11"/>
      <color rgb="FF006100"/>
      <name val="Arial"/>
      <family val="2"/>
      <scheme val="minor"/>
    </font>
    <font>
      <sz val="11"/>
      <color rgb="FF9C5700"/>
      <name val="Arial"/>
      <family val="2"/>
      <scheme val="minor"/>
    </font>
    <font>
      <b/>
      <sz val="11"/>
      <color theme="1"/>
      <name val="Arial"/>
      <family val="2"/>
    </font>
    <font>
      <sz val="10"/>
      <color theme="1"/>
      <name val="Arial"/>
      <family val="2"/>
      <scheme val="minor"/>
    </font>
    <font>
      <b/>
      <sz val="10"/>
      <color theme="1"/>
      <name val="Arial"/>
      <family val="2"/>
      <scheme val="minor"/>
    </font>
    <font>
      <b/>
      <sz val="11"/>
      <color theme="1"/>
      <name val="Arial"/>
      <family val="2"/>
      <scheme val="minor"/>
    </font>
    <font>
      <b/>
      <i/>
      <sz val="11"/>
      <color theme="1"/>
      <name val="Arial"/>
      <family val="2"/>
      <scheme val="minor"/>
    </font>
    <font>
      <sz val="11"/>
      <color theme="1"/>
      <name val="Arial"/>
      <family val="2"/>
    </font>
    <font>
      <b/>
      <sz val="11"/>
      <color rgb="FFFFFFFF"/>
      <name val="Arial"/>
      <family val="2"/>
    </font>
    <font>
      <sz val="11"/>
      <color rgb="FF000000"/>
      <name val="Arial"/>
      <family val="2"/>
    </font>
    <font>
      <b/>
      <sz val="11"/>
      <color rgb="FF000000"/>
      <name val="Arial"/>
      <family val="2"/>
    </font>
    <font>
      <sz val="11"/>
      <color rgb="FF3F3F76"/>
      <name val="Arial"/>
      <family val="2"/>
    </font>
    <font>
      <sz val="8"/>
      <name val="Arial"/>
      <family val="3"/>
      <charset val="129"/>
      <scheme val="minor"/>
    </font>
    <font>
      <b/>
      <sz val="36"/>
      <color theme="1"/>
      <name val="Arial"/>
      <family val="3"/>
      <charset val="129"/>
      <scheme val="minor"/>
    </font>
    <font>
      <b/>
      <sz val="18"/>
      <color theme="1"/>
      <name val="Arial"/>
      <family val="3"/>
      <charset val="129"/>
      <scheme val="minor"/>
    </font>
    <font>
      <b/>
      <sz val="11"/>
      <color rgb="FF0000FF"/>
      <name val="Arial"/>
      <family val="3"/>
      <charset val="129"/>
      <scheme val="minor"/>
    </font>
    <font>
      <sz val="11"/>
      <color rgb="FFFF0000"/>
      <name val="Arial"/>
      <family val="2"/>
      <scheme val="minor"/>
    </font>
    <font>
      <sz val="11"/>
      <color rgb="FFFF0000"/>
      <name val="Arial"/>
      <family val="3"/>
      <charset val="129"/>
      <scheme val="minor"/>
    </font>
    <font>
      <sz val="6"/>
      <color theme="1"/>
      <name val="Arial"/>
      <family val="2"/>
      <scheme val="minor"/>
    </font>
    <font>
      <b/>
      <sz val="10"/>
      <color rgb="FFFF0000"/>
      <name val="Arial"/>
      <family val="3"/>
      <charset val="129"/>
      <scheme val="minor"/>
    </font>
    <font>
      <b/>
      <i/>
      <sz val="11"/>
      <color theme="5" tint="-0.249977111117893"/>
      <name val="Arial"/>
      <family val="2"/>
      <scheme val="minor"/>
    </font>
  </fonts>
  <fills count="17">
    <fill>
      <patternFill patternType="none"/>
    </fill>
    <fill>
      <patternFill patternType="gray125"/>
    </fill>
    <fill>
      <patternFill patternType="solid">
        <fgColor theme="0" tint="-0.14999847407452621"/>
        <bgColor indexed="64"/>
      </patternFill>
    </fill>
    <fill>
      <patternFill patternType="solid">
        <fgColor rgb="FFC6EFCE"/>
      </patternFill>
    </fill>
    <fill>
      <patternFill patternType="solid">
        <fgColor rgb="FFFFEB9C"/>
      </patternFill>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rgb="FFFFFFCC"/>
        <bgColor indexed="64"/>
      </patternFill>
    </fill>
    <fill>
      <patternFill patternType="solid">
        <fgColor theme="9" tint="0.79998168889431442"/>
        <bgColor indexed="64"/>
      </patternFill>
    </fill>
    <fill>
      <patternFill patternType="solid">
        <fgColor rgb="FF4BACC6"/>
        <bgColor indexed="64"/>
      </patternFill>
    </fill>
    <fill>
      <patternFill patternType="solid">
        <fgColor rgb="FFDAEEF3"/>
        <bgColor indexed="64"/>
      </patternFill>
    </fill>
    <fill>
      <patternFill patternType="solid">
        <fgColor theme="5" tint="0.39997558519241921"/>
        <bgColor indexed="64"/>
      </patternFill>
    </fill>
    <fill>
      <patternFill patternType="solid">
        <fgColor rgb="FFFFCC99"/>
        <bgColor indexed="64"/>
      </patternFill>
    </fill>
    <fill>
      <patternFill patternType="solid">
        <fgColor theme="5" tint="0.79998168889431442"/>
        <bgColor indexed="64"/>
      </patternFill>
    </fill>
    <fill>
      <patternFill patternType="solid">
        <fgColor theme="7" tint="0.59999389629810485"/>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rgb="FF4BACC6"/>
      </left>
      <right/>
      <top style="medium">
        <color rgb="FF4BACC6"/>
      </top>
      <bottom style="medium">
        <color rgb="FF4BACC6"/>
      </bottom>
      <diagonal/>
    </border>
    <border>
      <left/>
      <right/>
      <top style="medium">
        <color rgb="FF4BACC6"/>
      </top>
      <bottom style="medium">
        <color rgb="FF4BACC6"/>
      </bottom>
      <diagonal/>
    </border>
    <border>
      <left/>
      <right style="medium">
        <color rgb="FF4BACC6"/>
      </right>
      <top style="medium">
        <color rgb="FF4BACC6"/>
      </top>
      <bottom style="medium">
        <color rgb="FF4BACC6"/>
      </bottom>
      <diagonal/>
    </border>
    <border>
      <left style="medium">
        <color rgb="FF92CDDC"/>
      </left>
      <right style="medium">
        <color rgb="FF92CDDC"/>
      </right>
      <top/>
      <bottom style="medium">
        <color rgb="FF92CDDC"/>
      </bottom>
      <diagonal/>
    </border>
    <border>
      <left/>
      <right style="medium">
        <color rgb="FF92CDDC"/>
      </right>
      <top/>
      <bottom style="medium">
        <color rgb="FF92CDDC"/>
      </bottom>
      <diagonal/>
    </border>
    <border>
      <left style="medium">
        <color rgb="FF92CDDC"/>
      </left>
      <right style="medium">
        <color rgb="FF92CDDC"/>
      </right>
      <top/>
      <bottom/>
      <diagonal/>
    </border>
    <border>
      <left/>
      <right style="medium">
        <color rgb="FF92CDDC"/>
      </right>
      <top/>
      <bottom/>
      <diagonal/>
    </border>
    <border>
      <left style="medium">
        <color rgb="FF92CDDC"/>
      </left>
      <right style="medium">
        <color rgb="FF92CDDC"/>
      </right>
      <top style="medium">
        <color rgb="FF92CDDC"/>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rgb="FF7F7F7F"/>
      </right>
      <top/>
      <bottom style="medium">
        <color rgb="FF7F7F7F"/>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s>
  <cellStyleXfs count="3">
    <xf numFmtId="0" fontId="0" fillId="0" borderId="0"/>
    <xf numFmtId="0" fontId="2" fillId="3" borderId="0" applyNumberFormat="0" applyBorder="0" applyAlignment="0" applyProtection="0"/>
    <xf numFmtId="0" fontId="3" fillId="4" borderId="0" applyNumberFormat="0" applyBorder="0" applyAlignment="0" applyProtection="0"/>
  </cellStyleXfs>
  <cellXfs count="237">
    <xf numFmtId="0" fontId="0" fillId="0" borderId="0" xfId="0"/>
    <xf numFmtId="49" fontId="0" fillId="0" borderId="0" xfId="0" applyNumberFormat="1"/>
    <xf numFmtId="0" fontId="0" fillId="0" borderId="0" xfId="0" applyAlignment="1">
      <alignment horizontal="center" vertical="center"/>
    </xf>
    <xf numFmtId="0" fontId="4" fillId="0" borderId="0" xfId="0" applyFont="1" applyAlignment="1">
      <alignment horizontal="left" vertical="center" indent="8"/>
    </xf>
    <xf numFmtId="0" fontId="2" fillId="3" borderId="1" xfId="1" applyBorder="1" applyAlignment="1">
      <alignment horizontal="center" vertical="center"/>
    </xf>
    <xf numFmtId="49" fontId="2" fillId="3" borderId="1" xfId="1" applyNumberFormat="1" applyBorder="1" applyAlignment="1">
      <alignment horizontal="center" vertical="center"/>
    </xf>
    <xf numFmtId="0" fontId="5" fillId="0" borderId="1" xfId="0" applyFont="1" applyBorder="1" applyAlignment="1">
      <alignment horizontal="center" vertical="center"/>
    </xf>
    <xf numFmtId="49" fontId="5" fillId="0" borderId="1" xfId="0" applyNumberFormat="1" applyFont="1" applyBorder="1" applyAlignment="1">
      <alignment vertical="center"/>
    </xf>
    <xf numFmtId="0" fontId="5" fillId="0" borderId="1" xfId="0" applyFont="1" applyBorder="1" applyAlignment="1">
      <alignment vertical="center"/>
    </xf>
    <xf numFmtId="0" fontId="5" fillId="2"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1" fillId="4" borderId="1" xfId="2" applyFont="1" applyBorder="1" applyAlignment="1">
      <alignment horizontal="center" vertical="center"/>
    </xf>
    <xf numFmtId="49" fontId="1" fillId="4" borderId="1" xfId="2" applyNumberFormat="1" applyFont="1" applyBorder="1" applyAlignment="1">
      <alignment horizontal="center" vertical="center"/>
    </xf>
    <xf numFmtId="46" fontId="1" fillId="4" borderId="1" xfId="2" applyNumberFormat="1" applyFont="1" applyBorder="1" applyAlignment="1">
      <alignment horizontal="center" vertical="center"/>
    </xf>
    <xf numFmtId="0" fontId="5" fillId="0" borderId="1" xfId="0" applyFont="1" applyBorder="1" applyAlignment="1">
      <alignment horizontal="center" vertical="center" textRotation="180"/>
    </xf>
    <xf numFmtId="0" fontId="0" fillId="0" borderId="1" xfId="0" applyBorder="1" applyAlignment="1">
      <alignment horizontal="center" vertical="center"/>
    </xf>
    <xf numFmtId="2" fontId="0" fillId="4" borderId="1" xfId="2" applyNumberFormat="1" applyFont="1" applyBorder="1" applyAlignment="1">
      <alignment horizontal="center" vertical="center"/>
    </xf>
    <xf numFmtId="2" fontId="2" fillId="3" borderId="1" xfId="1" applyNumberFormat="1" applyBorder="1" applyAlignment="1">
      <alignment horizontal="center" vertical="center"/>
    </xf>
    <xf numFmtId="2" fontId="0" fillId="0" borderId="0" xfId="0" applyNumberFormat="1"/>
    <xf numFmtId="1" fontId="5" fillId="0" borderId="1" xfId="0" applyNumberFormat="1" applyFont="1" applyBorder="1" applyAlignment="1">
      <alignment vertical="center"/>
    </xf>
    <xf numFmtId="0" fontId="5" fillId="0" borderId="6" xfId="0" applyFont="1" applyBorder="1" applyAlignment="1">
      <alignment horizontal="center" vertical="center"/>
    </xf>
    <xf numFmtId="49" fontId="5" fillId="0" borderId="6" xfId="0" applyNumberFormat="1" applyFont="1" applyBorder="1" applyAlignment="1">
      <alignment vertical="center"/>
    </xf>
    <xf numFmtId="1" fontId="5" fillId="0" borderId="6" xfId="0" applyNumberFormat="1" applyFont="1" applyBorder="1" applyAlignment="1">
      <alignment vertical="center"/>
    </xf>
    <xf numFmtId="0" fontId="5" fillId="0" borderId="6" xfId="0" applyFont="1" applyBorder="1" applyAlignment="1">
      <alignment vertical="center"/>
    </xf>
    <xf numFmtId="0" fontId="5" fillId="7" borderId="7" xfId="0" applyFont="1" applyFill="1" applyBorder="1" applyAlignment="1">
      <alignment horizontal="center" vertical="center"/>
    </xf>
    <xf numFmtId="49" fontId="5" fillId="7" borderId="8" xfId="0" applyNumberFormat="1" applyFont="1" applyFill="1" applyBorder="1" applyAlignment="1">
      <alignment vertical="center"/>
    </xf>
    <xf numFmtId="1" fontId="5" fillId="7" borderId="8" xfId="0" applyNumberFormat="1" applyFont="1" applyFill="1" applyBorder="1" applyAlignment="1">
      <alignment vertical="center"/>
    </xf>
    <xf numFmtId="0" fontId="5" fillId="7" borderId="8" xfId="0" applyFont="1" applyFill="1" applyBorder="1" applyAlignment="1">
      <alignment vertical="center"/>
    </xf>
    <xf numFmtId="0" fontId="5" fillId="7" borderId="14" xfId="0" applyFont="1" applyFill="1" applyBorder="1" applyAlignment="1">
      <alignment horizontal="center" vertical="center"/>
    </xf>
    <xf numFmtId="49" fontId="5" fillId="7" borderId="15" xfId="0" applyNumberFormat="1" applyFont="1" applyFill="1" applyBorder="1" applyAlignment="1">
      <alignment vertical="center"/>
    </xf>
    <xf numFmtId="1" fontId="5" fillId="7" borderId="15" xfId="0" applyNumberFormat="1" applyFont="1" applyFill="1" applyBorder="1" applyAlignment="1">
      <alignment vertical="center"/>
    </xf>
    <xf numFmtId="0" fontId="5" fillId="7" borderId="15" xfId="0" applyFont="1" applyFill="1" applyBorder="1" applyAlignment="1">
      <alignment vertical="center"/>
    </xf>
    <xf numFmtId="0" fontId="5" fillId="8" borderId="7" xfId="0" applyFont="1" applyFill="1" applyBorder="1" applyAlignment="1">
      <alignment horizontal="center" vertical="center"/>
    </xf>
    <xf numFmtId="49" fontId="5" fillId="8" borderId="8" xfId="0" applyNumberFormat="1" applyFont="1" applyFill="1" applyBorder="1" applyAlignment="1">
      <alignment vertical="center"/>
    </xf>
    <xf numFmtId="1" fontId="5" fillId="8" borderId="8" xfId="0" applyNumberFormat="1" applyFont="1" applyFill="1" applyBorder="1" applyAlignment="1">
      <alignment vertical="center"/>
    </xf>
    <xf numFmtId="0" fontId="5" fillId="8" borderId="8" xfId="0" applyFont="1" applyFill="1" applyBorder="1" applyAlignment="1">
      <alignment vertical="center"/>
    </xf>
    <xf numFmtId="0" fontId="5" fillId="8" borderId="14" xfId="0" applyFont="1" applyFill="1" applyBorder="1" applyAlignment="1">
      <alignment horizontal="center" vertical="center"/>
    </xf>
    <xf numFmtId="49" fontId="5" fillId="8" borderId="15" xfId="0" applyNumberFormat="1" applyFont="1" applyFill="1" applyBorder="1" applyAlignment="1">
      <alignment vertical="center"/>
    </xf>
    <xf numFmtId="1" fontId="5" fillId="8" borderId="15" xfId="0" applyNumberFormat="1" applyFont="1" applyFill="1" applyBorder="1" applyAlignment="1">
      <alignment vertical="center"/>
    </xf>
    <xf numFmtId="0" fontId="5" fillId="8" borderId="15" xfId="0" applyFont="1" applyFill="1" applyBorder="1" applyAlignment="1">
      <alignment vertical="center"/>
    </xf>
    <xf numFmtId="49" fontId="0" fillId="9" borderId="1" xfId="0" applyNumberFormat="1" applyFill="1" applyBorder="1" applyAlignment="1">
      <alignment horizontal="center" vertical="center"/>
    </xf>
    <xf numFmtId="0" fontId="0" fillId="9" borderId="1" xfId="0" applyFill="1" applyBorder="1" applyAlignment="1">
      <alignment horizontal="center" vertical="center" wrapText="1"/>
    </xf>
    <xf numFmtId="1" fontId="0" fillId="9" borderId="1" xfId="0" applyNumberFormat="1" applyFill="1"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0" fillId="10" borderId="1" xfId="0" applyFill="1" applyBorder="1" applyAlignment="1">
      <alignment horizontal="center" vertical="center" wrapText="1"/>
    </xf>
    <xf numFmtId="0" fontId="0" fillId="10" borderId="1" xfId="0" applyFill="1" applyBorder="1"/>
    <xf numFmtId="0" fontId="0" fillId="9" borderId="1" xfId="0" applyFill="1" applyBorder="1"/>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6" borderId="1" xfId="0" applyFill="1" applyBorder="1"/>
    <xf numFmtId="49" fontId="5" fillId="2" borderId="1" xfId="0" applyNumberFormat="1" applyFont="1" applyFill="1" applyBorder="1" applyAlignment="1">
      <alignment vertical="center"/>
    </xf>
    <xf numFmtId="1" fontId="5" fillId="2" borderId="1" xfId="0" applyNumberFormat="1" applyFont="1" applyFill="1" applyBorder="1" applyAlignment="1">
      <alignment vertical="center"/>
    </xf>
    <xf numFmtId="0" fontId="5" fillId="2" borderId="1" xfId="0" applyFont="1" applyFill="1" applyBorder="1" applyAlignment="1">
      <alignment vertical="center"/>
    </xf>
    <xf numFmtId="0" fontId="5" fillId="2" borderId="6" xfId="0" applyFont="1" applyFill="1" applyBorder="1" applyAlignment="1">
      <alignment horizontal="center" vertical="center"/>
    </xf>
    <xf numFmtId="0" fontId="0" fillId="0" borderId="1" xfId="0" applyBorder="1"/>
    <xf numFmtId="0" fontId="10" fillId="11" borderId="32" xfId="0" applyFont="1" applyFill="1" applyBorder="1" applyAlignment="1">
      <alignment horizontal="center" vertical="center" wrapText="1"/>
    </xf>
    <xf numFmtId="0" fontId="10" fillId="11" borderId="33" xfId="0" applyFont="1" applyFill="1" applyBorder="1" applyAlignment="1">
      <alignment horizontal="center" vertical="center" wrapText="1"/>
    </xf>
    <xf numFmtId="0" fontId="10" fillId="11" borderId="34" xfId="0" applyFont="1" applyFill="1" applyBorder="1" applyAlignment="1">
      <alignment horizontal="center" vertical="center" wrapText="1"/>
    </xf>
    <xf numFmtId="0" fontId="4" fillId="12" borderId="35" xfId="0" applyFont="1" applyFill="1" applyBorder="1" applyAlignment="1">
      <alignment horizontal="center" vertical="center" wrapText="1"/>
    </xf>
    <xf numFmtId="0" fontId="9" fillId="12" borderId="36" xfId="0" applyFont="1" applyFill="1" applyBorder="1" applyAlignment="1">
      <alignment horizontal="center" vertical="center" wrapText="1"/>
    </xf>
    <xf numFmtId="0" fontId="9" fillId="12" borderId="36" xfId="0" applyFont="1" applyFill="1" applyBorder="1" applyAlignment="1">
      <alignment horizontal="justify" vertical="center" wrapText="1"/>
    </xf>
    <xf numFmtId="0" fontId="4" fillId="0" borderId="35" xfId="0" applyFont="1" applyBorder="1" applyAlignment="1">
      <alignment horizontal="center" vertical="center" wrapText="1"/>
    </xf>
    <xf numFmtId="0" fontId="9" fillId="0" borderId="36" xfId="0" applyFont="1" applyBorder="1" applyAlignment="1">
      <alignment horizontal="center" vertical="center" wrapText="1"/>
    </xf>
    <xf numFmtId="0" fontId="9" fillId="0" borderId="36" xfId="0" applyFont="1" applyBorder="1" applyAlignment="1">
      <alignment horizontal="justify" vertical="center" wrapText="1"/>
    </xf>
    <xf numFmtId="0" fontId="9" fillId="12" borderId="38" xfId="0" applyFont="1" applyFill="1" applyBorder="1" applyAlignment="1">
      <alignment horizontal="justify" vertical="center" wrapText="1"/>
    </xf>
    <xf numFmtId="0" fontId="9" fillId="0" borderId="38" xfId="0" applyFont="1" applyBorder="1" applyAlignment="1">
      <alignment horizontal="justify" vertical="center" wrapText="1"/>
    </xf>
    <xf numFmtId="49" fontId="10" fillId="11" borderId="33" xfId="0" applyNumberFormat="1" applyFont="1" applyFill="1" applyBorder="1" applyAlignment="1">
      <alignment horizontal="center" vertical="center" wrapText="1"/>
    </xf>
    <xf numFmtId="49" fontId="9" fillId="12" borderId="36" xfId="0" applyNumberFormat="1" applyFont="1" applyFill="1" applyBorder="1" applyAlignment="1">
      <alignment horizontal="center" vertical="center" wrapText="1"/>
    </xf>
    <xf numFmtId="49" fontId="9" fillId="0" borderId="36" xfId="0" applyNumberFormat="1" applyFont="1" applyBorder="1" applyAlignment="1">
      <alignment horizontal="center" vertical="center" wrapText="1"/>
    </xf>
    <xf numFmtId="0" fontId="0" fillId="13" borderId="1" xfId="0" applyFill="1" applyBorder="1"/>
    <xf numFmtId="0" fontId="12" fillId="0" borderId="41" xfId="0" applyFont="1" applyBorder="1" applyAlignment="1">
      <alignment horizontal="center" vertical="center" wrapText="1" readingOrder="1"/>
    </xf>
    <xf numFmtId="0" fontId="11" fillId="0" borderId="18" xfId="0" applyFont="1" applyBorder="1" applyAlignment="1">
      <alignment horizontal="center" vertical="center" wrapText="1" readingOrder="1"/>
    </xf>
    <xf numFmtId="0" fontId="11" fillId="0" borderId="18" xfId="0" applyFont="1" applyBorder="1" applyAlignment="1">
      <alignment horizontal="left" vertical="center" wrapText="1" readingOrder="1"/>
    </xf>
    <xf numFmtId="0" fontId="13" fillId="14" borderId="43" xfId="0" applyFont="1" applyFill="1" applyBorder="1" applyAlignment="1">
      <alignment horizontal="left" vertical="center" wrapText="1" readingOrder="1"/>
    </xf>
    <xf numFmtId="0" fontId="9" fillId="0" borderId="43" xfId="0" applyFont="1" applyBorder="1" applyAlignment="1">
      <alignment horizontal="left" vertical="center" wrapText="1" readingOrder="1"/>
    </xf>
    <xf numFmtId="0" fontId="11" fillId="5" borderId="18" xfId="0" applyFont="1" applyFill="1" applyBorder="1" applyAlignment="1">
      <alignment horizontal="left" vertical="center" wrapText="1" readingOrder="1"/>
    </xf>
    <xf numFmtId="0" fontId="11" fillId="0" borderId="42" xfId="0" applyFont="1" applyBorder="1" applyAlignment="1">
      <alignment horizontal="left" vertical="center" wrapText="1" readingOrder="1"/>
    </xf>
    <xf numFmtId="0" fontId="11" fillId="0" borderId="44" xfId="0" applyFont="1" applyBorder="1" applyAlignment="1">
      <alignment horizontal="left" vertical="center" readingOrder="1"/>
    </xf>
    <xf numFmtId="0" fontId="12" fillId="0" borderId="40" xfId="0" applyFont="1" applyBorder="1" applyAlignment="1">
      <alignment horizontal="center" vertical="center" wrapText="1" readingOrder="1"/>
    </xf>
    <xf numFmtId="0" fontId="11" fillId="5" borderId="42" xfId="0" applyFont="1" applyFill="1" applyBorder="1" applyAlignment="1">
      <alignment horizontal="left" vertical="center" wrapText="1" readingOrder="1"/>
    </xf>
    <xf numFmtId="0" fontId="0" fillId="15" borderId="0" xfId="0" applyFill="1"/>
    <xf numFmtId="0" fontId="0" fillId="2" borderId="1" xfId="0" applyFill="1" applyBorder="1" applyAlignment="1">
      <alignment horizontal="center" vertical="center"/>
    </xf>
    <xf numFmtId="49" fontId="0" fillId="2" borderId="1" xfId="0" applyNumberFormat="1" applyFill="1" applyBorder="1" applyAlignment="1">
      <alignment horizontal="center" vertical="center"/>
    </xf>
    <xf numFmtId="0" fontId="5" fillId="2" borderId="2" xfId="0" applyFont="1" applyFill="1" applyBorder="1" applyAlignment="1">
      <alignment horizontal="center" vertical="center"/>
    </xf>
    <xf numFmtId="1" fontId="5" fillId="0" borderId="3" xfId="0" applyNumberFormat="1" applyFont="1" applyBorder="1" applyAlignment="1">
      <alignment vertical="center"/>
    </xf>
    <xf numFmtId="0" fontId="5" fillId="0" borderId="1" xfId="0" applyFont="1" applyBorder="1" applyAlignment="1">
      <alignment horizontal="center" vertical="center" wrapText="1"/>
    </xf>
    <xf numFmtId="0" fontId="1" fillId="4" borderId="22" xfId="2" applyFont="1" applyBorder="1" applyAlignment="1">
      <alignment horizontal="center" vertical="center"/>
    </xf>
    <xf numFmtId="2" fontId="0" fillId="4" borderId="22" xfId="2" applyNumberFormat="1" applyFont="1" applyBorder="1" applyAlignment="1">
      <alignment horizontal="center" vertical="center"/>
    </xf>
    <xf numFmtId="49" fontId="1" fillId="4" borderId="22" xfId="2" applyNumberFormat="1" applyFont="1" applyBorder="1" applyAlignment="1">
      <alignment horizontal="center" vertical="center"/>
    </xf>
    <xf numFmtId="0" fontId="0" fillId="0" borderId="22" xfId="0" applyBorder="1" applyAlignment="1">
      <alignment horizontal="center" vertical="center"/>
    </xf>
    <xf numFmtId="0" fontId="0" fillId="0" borderId="0" xfId="0" applyAlignment="1">
      <alignment vertical="center"/>
    </xf>
    <xf numFmtId="0" fontId="0" fillId="0" borderId="44" xfId="0" applyBorder="1" applyAlignment="1">
      <alignment vertical="center"/>
    </xf>
    <xf numFmtId="0" fontId="0" fillId="0" borderId="40" xfId="0" applyBorder="1" applyAlignment="1">
      <alignment vertical="center"/>
    </xf>
    <xf numFmtId="0" fontId="0" fillId="0" borderId="1" xfId="0" applyBorder="1"/>
    <xf numFmtId="0" fontId="0" fillId="0" borderId="1" xfId="0" applyBorder="1" applyAlignment="1">
      <alignment horizontal="center" vertical="center"/>
    </xf>
    <xf numFmtId="0" fontId="0" fillId="0" borderId="0" xfId="0"/>
    <xf numFmtId="46" fontId="1" fillId="4" borderId="22" xfId="2" applyNumberFormat="1" applyFont="1" applyBorder="1" applyAlignment="1">
      <alignment horizontal="center" vertical="center"/>
    </xf>
    <xf numFmtId="49" fontId="0" fillId="0" borderId="1" xfId="0" applyNumberFormat="1" applyBorder="1"/>
    <xf numFmtId="0" fontId="20" fillId="0" borderId="1" xfId="0" applyFont="1" applyBorder="1" applyAlignment="1">
      <alignment horizontal="center" vertical="center" wrapText="1"/>
    </xf>
    <xf numFmtId="0" fontId="16" fillId="0" borderId="50" xfId="0" applyFont="1" applyBorder="1" applyAlignment="1">
      <alignment horizontal="center" vertical="center"/>
    </xf>
    <xf numFmtId="0" fontId="16" fillId="0" borderId="51" xfId="0" applyFont="1" applyBorder="1" applyAlignment="1">
      <alignment horizontal="center" vertical="center"/>
    </xf>
    <xf numFmtId="0" fontId="16" fillId="0" borderId="41" xfId="0" applyFont="1" applyBorder="1" applyAlignment="1">
      <alignment horizontal="center" vertical="center"/>
    </xf>
    <xf numFmtId="0" fontId="2" fillId="3" borderId="2" xfId="1" applyBorder="1" applyAlignment="1">
      <alignment horizontal="center" vertical="center"/>
    </xf>
    <xf numFmtId="0" fontId="2" fillId="3" borderId="4" xfId="1" applyBorder="1" applyAlignment="1">
      <alignment horizontal="center" vertical="center"/>
    </xf>
    <xf numFmtId="0" fontId="2" fillId="3" borderId="3" xfId="1" applyBorder="1" applyAlignment="1">
      <alignment horizontal="center" vertical="center"/>
    </xf>
    <xf numFmtId="0" fontId="5" fillId="0" borderId="2" xfId="0" applyFont="1" applyBorder="1" applyAlignment="1">
      <alignment horizontal="center" vertical="center"/>
    </xf>
    <xf numFmtId="0" fontId="5" fillId="0" borderId="4" xfId="0" applyFont="1" applyBorder="1" applyAlignment="1">
      <alignment horizontal="center" vertical="center"/>
    </xf>
    <xf numFmtId="0" fontId="5" fillId="0" borderId="3" xfId="0" applyFont="1" applyBorder="1" applyAlignment="1">
      <alignment horizontal="center" vertical="center"/>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5" fillId="0" borderId="3" xfId="0" applyFont="1" applyBorder="1" applyAlignment="1">
      <alignment horizontal="center" vertical="center" wrapText="1"/>
    </xf>
    <xf numFmtId="0" fontId="5" fillId="0" borderId="6"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2" xfId="0" applyFont="1" applyBorder="1" applyAlignment="1">
      <alignment horizontal="center" vertical="center" wrapText="1"/>
    </xf>
    <xf numFmtId="49" fontId="5" fillId="0" borderId="2" xfId="0" applyNumberFormat="1" applyFont="1" applyBorder="1" applyAlignment="1">
      <alignment horizontal="center" vertical="center"/>
    </xf>
    <xf numFmtId="49" fontId="5" fillId="0" borderId="4" xfId="0" applyNumberFormat="1" applyFont="1" applyBorder="1" applyAlignment="1">
      <alignment horizontal="center" vertical="center"/>
    </xf>
    <xf numFmtId="49" fontId="5" fillId="0" borderId="3" xfId="0" applyNumberFormat="1" applyFont="1" applyBorder="1" applyAlignment="1">
      <alignment horizontal="center" vertical="center"/>
    </xf>
    <xf numFmtId="0" fontId="15" fillId="0" borderId="2" xfId="0" applyFont="1" applyBorder="1" applyAlignment="1">
      <alignment horizontal="center"/>
    </xf>
    <xf numFmtId="0" fontId="15" fillId="0" borderId="4" xfId="0" applyFont="1" applyBorder="1" applyAlignment="1">
      <alignment horizontal="center"/>
    </xf>
    <xf numFmtId="0" fontId="15" fillId="0" borderId="3" xfId="0" applyFont="1"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center" vertical="center"/>
    </xf>
    <xf numFmtId="49" fontId="5" fillId="0" borderId="2" xfId="0" applyNumberFormat="1" applyFont="1" applyBorder="1" applyAlignment="1">
      <alignment horizontal="center" vertical="center" wrapText="1"/>
    </xf>
    <xf numFmtId="49" fontId="5" fillId="0" borderId="4" xfId="0" applyNumberFormat="1" applyFont="1" applyBorder="1" applyAlignment="1">
      <alignment horizontal="center" vertical="center" wrapText="1"/>
    </xf>
    <xf numFmtId="49" fontId="5" fillId="0" borderId="3" xfId="0" applyNumberFormat="1" applyFont="1" applyBorder="1" applyAlignment="1">
      <alignment horizontal="center" vertical="center" wrapText="1"/>
    </xf>
    <xf numFmtId="0" fontId="0" fillId="0" borderId="6" xfId="0" applyBorder="1" applyAlignment="1">
      <alignment horizontal="center"/>
    </xf>
    <xf numFmtId="0" fontId="0" fillId="0" borderId="23" xfId="0" applyBorder="1" applyAlignment="1">
      <alignment horizontal="center"/>
    </xf>
    <xf numFmtId="0" fontId="0" fillId="0" borderId="22" xfId="0" applyBorder="1" applyAlignment="1">
      <alignment horizontal="center"/>
    </xf>
    <xf numFmtId="0" fontId="5" fillId="0" borderId="23" xfId="0" applyFont="1" applyBorder="1" applyAlignment="1">
      <alignment horizontal="center" vertical="center"/>
    </xf>
    <xf numFmtId="0" fontId="5" fillId="0" borderId="22" xfId="0" applyFont="1" applyBorder="1" applyAlignment="1">
      <alignment horizontal="center" vertical="center"/>
    </xf>
    <xf numFmtId="0" fontId="0" fillId="0" borderId="44" xfId="0" applyBorder="1" applyAlignment="1">
      <alignment horizontal="left" vertical="top" wrapText="1"/>
    </xf>
    <xf numFmtId="0" fontId="0" fillId="0" borderId="52" xfId="0" applyBorder="1" applyAlignment="1">
      <alignment horizontal="left" vertical="top" wrapText="1"/>
    </xf>
    <xf numFmtId="0" fontId="0" fillId="0" borderId="42" xfId="0" applyBorder="1" applyAlignment="1">
      <alignment horizontal="left" vertical="top" wrapText="1"/>
    </xf>
    <xf numFmtId="0" fontId="0" fillId="0" borderId="24" xfId="0" applyBorder="1" applyAlignment="1">
      <alignment horizontal="center" vertical="center" wrapText="1"/>
    </xf>
    <xf numFmtId="0" fontId="0" fillId="0" borderId="48" xfId="0" applyBorder="1" applyAlignment="1">
      <alignment horizontal="center" vertical="center" wrapText="1"/>
    </xf>
    <xf numFmtId="0" fontId="0" fillId="0" borderId="25" xfId="0" applyBorder="1" applyAlignment="1">
      <alignment horizontal="center" vertical="center" wrapText="1"/>
    </xf>
    <xf numFmtId="0" fontId="0" fillId="0" borderId="5" xfId="0" applyBorder="1" applyAlignment="1">
      <alignment horizontal="center" vertical="center" wrapText="1"/>
    </xf>
    <xf numFmtId="0" fontId="0" fillId="0" borderId="0" xfId="0" applyAlignment="1">
      <alignment horizontal="center" vertical="center" wrapText="1"/>
    </xf>
    <xf numFmtId="0" fontId="0" fillId="0" borderId="28" xfId="0" applyBorder="1" applyAlignment="1">
      <alignment horizontal="center" vertical="center" wrapText="1"/>
    </xf>
    <xf numFmtId="0" fontId="0" fillId="0" borderId="26" xfId="0" applyBorder="1" applyAlignment="1">
      <alignment horizontal="center" vertical="center" wrapText="1"/>
    </xf>
    <xf numFmtId="0" fontId="0" fillId="0" borderId="49" xfId="0" applyBorder="1" applyAlignment="1">
      <alignment horizontal="center" vertical="center" wrapText="1"/>
    </xf>
    <xf numFmtId="0" fontId="0" fillId="0" borderId="27" xfId="0" applyBorder="1" applyAlignment="1">
      <alignment horizontal="center" vertical="center" wrapText="1"/>
    </xf>
    <xf numFmtId="0" fontId="0" fillId="0" borderId="52" xfId="0" applyBorder="1" applyAlignment="1">
      <alignment horizontal="left" vertical="top"/>
    </xf>
    <xf numFmtId="0" fontId="0" fillId="0" borderId="42" xfId="0" applyBorder="1" applyAlignment="1">
      <alignment horizontal="left" vertical="top"/>
    </xf>
    <xf numFmtId="0" fontId="11" fillId="0" borderId="45" xfId="0" applyFont="1" applyBorder="1" applyAlignment="1">
      <alignment horizontal="left" vertical="center" wrapText="1" readingOrder="1"/>
    </xf>
    <xf numFmtId="0" fontId="0" fillId="0" borderId="46" xfId="0" applyBorder="1" applyAlignment="1">
      <alignment wrapText="1"/>
    </xf>
    <xf numFmtId="0" fontId="0" fillId="0" borderId="47" xfId="0" applyBorder="1" applyAlignment="1">
      <alignment wrapText="1"/>
    </xf>
    <xf numFmtId="0" fontId="0" fillId="0" borderId="46" xfId="0" applyBorder="1" applyAlignment="1">
      <alignment horizontal="left" vertical="center" readingOrder="1"/>
    </xf>
    <xf numFmtId="0" fontId="0" fillId="0" borderId="47" xfId="0" applyBorder="1" applyAlignment="1">
      <alignment horizontal="left" vertical="center" readingOrder="1"/>
    </xf>
    <xf numFmtId="0" fontId="11" fillId="0" borderId="45" xfId="0" applyFont="1" applyBorder="1" applyAlignment="1">
      <alignment horizontal="left" vertical="center" readingOrder="1"/>
    </xf>
    <xf numFmtId="0" fontId="2" fillId="3" borderId="1" xfId="1" applyBorder="1" applyAlignment="1">
      <alignment horizontal="center" vertical="center"/>
    </xf>
    <xf numFmtId="0" fontId="18" fillId="0" borderId="50" xfId="0" applyFont="1" applyBorder="1" applyAlignment="1">
      <alignment horizontal="center" vertical="center"/>
    </xf>
    <xf numFmtId="0" fontId="19" fillId="0" borderId="51" xfId="0" applyFont="1" applyBorder="1" applyAlignment="1">
      <alignment horizontal="center" vertical="center"/>
    </xf>
    <xf numFmtId="0" fontId="19" fillId="0" borderId="41" xfId="0" applyFont="1" applyBorder="1" applyAlignment="1">
      <alignment horizontal="center" vertical="center"/>
    </xf>
    <xf numFmtId="0" fontId="5" fillId="0" borderId="1" xfId="0" applyFont="1" applyBorder="1" applyAlignment="1">
      <alignment horizontal="center" vertical="center"/>
    </xf>
    <xf numFmtId="0" fontId="6" fillId="7" borderId="12" xfId="0" applyFont="1" applyFill="1" applyBorder="1" applyAlignment="1">
      <alignment horizontal="center" vertical="center"/>
    </xf>
    <xf numFmtId="0" fontId="7" fillId="7" borderId="4" xfId="0" applyFont="1" applyFill="1" applyBorder="1" applyAlignment="1">
      <alignment vertical="center"/>
    </xf>
    <xf numFmtId="0" fontId="7" fillId="7" borderId="3" xfId="0" applyFont="1" applyFill="1" applyBorder="1" applyAlignment="1">
      <alignment vertical="center"/>
    </xf>
    <xf numFmtId="0" fontId="5" fillId="8" borderId="9" xfId="0" applyFont="1" applyFill="1" applyBorder="1" applyAlignment="1">
      <alignment horizontal="center" vertical="center"/>
    </xf>
    <xf numFmtId="0" fontId="5" fillId="8" borderId="10" xfId="0" applyFont="1" applyFill="1" applyBorder="1" applyAlignment="1">
      <alignment horizontal="center" vertical="center"/>
    </xf>
    <xf numFmtId="0" fontId="0" fillId="8" borderId="10" xfId="0" applyFill="1" applyBorder="1" applyAlignment="1">
      <alignment horizontal="center" vertical="center"/>
    </xf>
    <xf numFmtId="0" fontId="0" fillId="8" borderId="11" xfId="0" applyFill="1" applyBorder="1" applyAlignment="1">
      <alignment horizontal="center" vertical="center"/>
    </xf>
    <xf numFmtId="0" fontId="0" fillId="8" borderId="5" xfId="0" applyFill="1" applyBorder="1" applyAlignment="1">
      <alignment horizontal="center" vertical="center"/>
    </xf>
    <xf numFmtId="0" fontId="0" fillId="8" borderId="0" xfId="0" applyFill="1" applyAlignment="1">
      <alignment horizontal="center" vertical="center"/>
    </xf>
    <xf numFmtId="0" fontId="0" fillId="8" borderId="13" xfId="0" applyFill="1" applyBorder="1" applyAlignment="1">
      <alignment horizontal="center" vertical="center"/>
    </xf>
    <xf numFmtId="0" fontId="0" fillId="8" borderId="16" xfId="0" applyFill="1" applyBorder="1" applyAlignment="1">
      <alignment horizontal="center" vertical="center"/>
    </xf>
    <xf numFmtId="0" fontId="0" fillId="8" borderId="17" xfId="0" applyFill="1" applyBorder="1" applyAlignment="1">
      <alignment horizontal="center" vertical="center"/>
    </xf>
    <xf numFmtId="0" fontId="0" fillId="8" borderId="18" xfId="0" applyFill="1" applyBorder="1" applyAlignment="1">
      <alignment horizontal="center" vertical="center"/>
    </xf>
    <xf numFmtId="0" fontId="6" fillId="8" borderId="12" xfId="0" applyFont="1" applyFill="1" applyBorder="1" applyAlignment="1">
      <alignment horizontal="center" vertical="center"/>
    </xf>
    <xf numFmtId="0" fontId="7" fillId="8" borderId="4" xfId="0" applyFont="1" applyFill="1" applyBorder="1" applyAlignment="1">
      <alignment vertical="center"/>
    </xf>
    <xf numFmtId="0" fontId="7" fillId="8" borderId="3" xfId="0" applyFont="1" applyFill="1" applyBorder="1" applyAlignment="1">
      <alignment vertical="center"/>
    </xf>
    <xf numFmtId="0" fontId="0" fillId="0" borderId="4" xfId="0" applyBorder="1" applyAlignment="1">
      <alignment horizontal="center" vertical="center"/>
    </xf>
    <xf numFmtId="0" fontId="0" fillId="0" borderId="3" xfId="0" applyBorder="1" applyAlignment="1">
      <alignment horizontal="center" vertical="center"/>
    </xf>
    <xf numFmtId="0" fontId="5" fillId="7" borderId="9" xfId="0" applyFont="1" applyFill="1" applyBorder="1" applyAlignment="1">
      <alignment horizontal="center" vertical="center"/>
    </xf>
    <xf numFmtId="0" fontId="5" fillId="7" borderId="10" xfId="0" applyFont="1" applyFill="1" applyBorder="1" applyAlignment="1">
      <alignment horizontal="center" vertical="center"/>
    </xf>
    <xf numFmtId="0" fontId="0" fillId="7" borderId="10" xfId="0" applyFill="1" applyBorder="1" applyAlignment="1">
      <alignment horizontal="center" vertical="center"/>
    </xf>
    <xf numFmtId="0" fontId="0" fillId="7" borderId="11" xfId="0" applyFill="1" applyBorder="1" applyAlignment="1">
      <alignment horizontal="center" vertical="center"/>
    </xf>
    <xf numFmtId="0" fontId="0" fillId="7" borderId="5" xfId="0" applyFill="1" applyBorder="1" applyAlignment="1">
      <alignment horizontal="center" vertical="center"/>
    </xf>
    <xf numFmtId="0" fontId="0" fillId="7" borderId="0" xfId="0" applyFill="1" applyAlignment="1">
      <alignment horizontal="center" vertical="center"/>
    </xf>
    <xf numFmtId="0" fontId="0" fillId="7" borderId="13" xfId="0" applyFill="1" applyBorder="1" applyAlignment="1">
      <alignment horizontal="center" vertical="center"/>
    </xf>
    <xf numFmtId="0" fontId="0" fillId="7" borderId="16" xfId="0" applyFill="1" applyBorder="1" applyAlignment="1">
      <alignment horizontal="center" vertical="center"/>
    </xf>
    <xf numFmtId="0" fontId="0" fillId="7" borderId="17" xfId="0" applyFill="1" applyBorder="1" applyAlignment="1">
      <alignment horizontal="center" vertical="center"/>
    </xf>
    <xf numFmtId="0" fontId="0" fillId="7" borderId="18" xfId="0" applyFill="1" applyBorder="1" applyAlignment="1">
      <alignment horizontal="center" vertical="center"/>
    </xf>
    <xf numFmtId="0" fontId="5" fillId="5" borderId="2" xfId="0" applyFont="1" applyFill="1" applyBorder="1" applyAlignment="1">
      <alignment horizontal="center" vertical="center"/>
    </xf>
    <xf numFmtId="0" fontId="0" fillId="5" borderId="4" xfId="0" applyFill="1" applyBorder="1" applyAlignment="1">
      <alignment horizontal="center" vertical="center"/>
    </xf>
    <xf numFmtId="0" fontId="0" fillId="5" borderId="3" xfId="0" applyFill="1" applyBorder="1" applyAlignment="1">
      <alignment horizontal="center" vertical="center"/>
    </xf>
    <xf numFmtId="0" fontId="5" fillId="0" borderId="29" xfId="0" applyFont="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5" fillId="0" borderId="19" xfId="0" applyFont="1"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4" fillId="12" borderId="39" xfId="0" applyFont="1" applyFill="1" applyBorder="1" applyAlignment="1">
      <alignment horizontal="center" vertical="center" wrapText="1"/>
    </xf>
    <xf numFmtId="0" fontId="4" fillId="12" borderId="35" xfId="0" applyFont="1" applyFill="1" applyBorder="1" applyAlignment="1">
      <alignment horizontal="center" vertical="center" wrapText="1"/>
    </xf>
    <xf numFmtId="49" fontId="9" fillId="12" borderId="39" xfId="0" applyNumberFormat="1" applyFont="1" applyFill="1" applyBorder="1" applyAlignment="1">
      <alignment horizontal="center" vertical="center" wrapText="1"/>
    </xf>
    <xf numFmtId="49" fontId="9" fillId="12" borderId="35" xfId="0" applyNumberFormat="1" applyFont="1" applyFill="1" applyBorder="1" applyAlignment="1">
      <alignment horizontal="center" vertical="center" wrapText="1"/>
    </xf>
    <xf numFmtId="0" fontId="9" fillId="12" borderId="39" xfId="0" applyFont="1" applyFill="1" applyBorder="1" applyAlignment="1">
      <alignment horizontal="center" vertical="center" wrapText="1"/>
    </xf>
    <xf numFmtId="0" fontId="9" fillId="12" borderId="35" xfId="0" applyFont="1" applyFill="1" applyBorder="1" applyAlignment="1">
      <alignment horizontal="center" vertical="center" wrapText="1"/>
    </xf>
    <xf numFmtId="0" fontId="4" fillId="0" borderId="39" xfId="0" applyFont="1" applyBorder="1" applyAlignment="1">
      <alignment horizontal="center" vertical="center" wrapText="1"/>
    </xf>
    <xf numFmtId="0" fontId="4" fillId="0" borderId="35" xfId="0" applyFont="1" applyBorder="1" applyAlignment="1">
      <alignment horizontal="center" vertical="center" wrapText="1"/>
    </xf>
    <xf numFmtId="49" fontId="9" fillId="0" borderId="39" xfId="0" applyNumberFormat="1" applyFont="1" applyBorder="1" applyAlignment="1">
      <alignment horizontal="center" vertical="center" wrapText="1"/>
    </xf>
    <xf numFmtId="49" fontId="9" fillId="0" borderId="35" xfId="0" applyNumberFormat="1" applyFont="1" applyBorder="1" applyAlignment="1">
      <alignment horizontal="center" vertical="center" wrapText="1"/>
    </xf>
    <xf numFmtId="0" fontId="9" fillId="0" borderId="39" xfId="0" applyFont="1" applyBorder="1" applyAlignment="1">
      <alignment horizontal="center" vertical="center" wrapText="1"/>
    </xf>
    <xf numFmtId="0" fontId="9" fillId="0" borderId="35" xfId="0" applyFont="1" applyBorder="1" applyAlignment="1">
      <alignment horizontal="center" vertical="center" wrapText="1"/>
    </xf>
    <xf numFmtId="0" fontId="4" fillId="12" borderId="37" xfId="0" applyFont="1" applyFill="1" applyBorder="1" applyAlignment="1">
      <alignment horizontal="center" vertical="center" wrapText="1"/>
    </xf>
    <xf numFmtId="49" fontId="9" fillId="12" borderId="37" xfId="0" applyNumberFormat="1" applyFont="1" applyFill="1" applyBorder="1" applyAlignment="1">
      <alignment horizontal="center" vertical="center" wrapText="1"/>
    </xf>
    <xf numFmtId="0" fontId="9" fillId="12" borderId="37" xfId="0" applyFont="1" applyFill="1" applyBorder="1" applyAlignment="1">
      <alignment horizontal="center" vertical="center" wrapText="1"/>
    </xf>
    <xf numFmtId="0" fontId="0" fillId="9" borderId="6" xfId="0" applyFill="1" applyBorder="1" applyAlignment="1">
      <alignment horizontal="left" vertical="center" wrapText="1"/>
    </xf>
    <xf numFmtId="0" fontId="0" fillId="9" borderId="23" xfId="0" applyFill="1" applyBorder="1" applyAlignment="1">
      <alignment horizontal="left" vertical="center" wrapText="1"/>
    </xf>
    <xf numFmtId="0" fontId="0" fillId="9" borderId="6" xfId="0" applyFill="1" applyBorder="1" applyAlignment="1">
      <alignment horizontal="center" vertical="center"/>
    </xf>
    <xf numFmtId="0" fontId="0" fillId="9" borderId="23" xfId="0" applyFill="1" applyBorder="1" applyAlignment="1">
      <alignment horizontal="center" vertical="center"/>
    </xf>
    <xf numFmtId="0" fontId="0" fillId="9" borderId="22" xfId="0" applyFill="1" applyBorder="1" applyAlignment="1">
      <alignment horizontal="center" vertical="center"/>
    </xf>
    <xf numFmtId="0" fontId="0" fillId="9" borderId="1" xfId="0" applyFill="1" applyBorder="1" applyAlignment="1">
      <alignment horizontal="center" vertical="center" wrapText="1"/>
    </xf>
    <xf numFmtId="0" fontId="0" fillId="9" borderId="1" xfId="0" applyFill="1" applyBorder="1" applyAlignment="1">
      <alignment horizontal="center" vertical="center"/>
    </xf>
    <xf numFmtId="49" fontId="0" fillId="9" borderId="1" xfId="0" applyNumberFormat="1" applyFill="1" applyBorder="1" applyAlignment="1">
      <alignment horizontal="center" vertical="center"/>
    </xf>
    <xf numFmtId="0" fontId="0" fillId="0" borderId="2" xfId="0" applyBorder="1" applyAlignment="1">
      <alignment horizontal="center" vertical="center"/>
    </xf>
    <xf numFmtId="1" fontId="0" fillId="9" borderId="24" xfId="0" applyNumberFormat="1" applyFill="1" applyBorder="1" applyAlignment="1">
      <alignment horizontal="center" vertical="center" wrapText="1"/>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49" fontId="0" fillId="9" borderId="24" xfId="0" applyNumberFormat="1" applyFill="1" applyBorder="1" applyAlignment="1">
      <alignment horizontal="center" vertical="center" wrapText="1"/>
    </xf>
    <xf numFmtId="0" fontId="0" fillId="0" borderId="5" xfId="0" applyBorder="1" applyAlignment="1">
      <alignment horizontal="center" vertical="center"/>
    </xf>
    <xf numFmtId="0" fontId="0" fillId="0" borderId="28" xfId="0"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9" borderId="1" xfId="0" applyFill="1" applyBorder="1"/>
    <xf numFmtId="49" fontId="0" fillId="10" borderId="1" xfId="0" applyNumberFormat="1" applyFill="1" applyBorder="1" applyAlignment="1">
      <alignment horizontal="center" vertical="center"/>
    </xf>
    <xf numFmtId="0" fontId="0" fillId="10" borderId="1" xfId="0" applyFill="1" applyBorder="1" applyAlignment="1">
      <alignment horizontal="center" vertical="center"/>
    </xf>
    <xf numFmtId="0" fontId="0" fillId="0" borderId="0" xfId="0" applyAlignment="1">
      <alignment wrapText="1"/>
    </xf>
    <xf numFmtId="0" fontId="0" fillId="0" borderId="0" xfId="0"/>
    <xf numFmtId="0" fontId="0" fillId="10" borderId="1" xfId="0" applyFill="1" applyBorder="1" applyAlignment="1">
      <alignment wrapText="1"/>
    </xf>
    <xf numFmtId="0" fontId="0" fillId="16" borderId="1" xfId="0" applyFill="1" applyBorder="1" applyAlignment="1">
      <alignment horizontal="center" vertical="center"/>
    </xf>
    <xf numFmtId="0" fontId="0" fillId="13" borderId="1" xfId="0" applyFill="1" applyBorder="1" applyAlignment="1">
      <alignment horizontal="center" vertical="center"/>
    </xf>
    <xf numFmtId="0" fontId="0" fillId="13" borderId="1" xfId="0" applyFill="1" applyBorder="1" applyAlignment="1">
      <alignment horizontal="center" vertical="center"/>
    </xf>
    <xf numFmtId="0" fontId="0" fillId="16" borderId="1" xfId="0" applyFill="1" applyBorder="1" applyAlignment="1">
      <alignment horizontal="center" vertical="center" wrapText="1"/>
    </xf>
  </cellXfs>
  <cellStyles count="3">
    <cellStyle name="Good" xfId="1" builtinId="26"/>
    <cellStyle name="Neutral" xfId="2" builtinId="28"/>
    <cellStyle name="Normal" xfId="0" builtinId="0"/>
  </cellStyles>
  <dxfs count="0"/>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ustomXml" Target="../ink/ink6.xml"/><Relationship Id="rId3" Type="http://schemas.openxmlformats.org/officeDocument/2006/relationships/customXml" Target="../ink/ink1.xml"/><Relationship Id="rId7" Type="http://schemas.openxmlformats.org/officeDocument/2006/relationships/customXml" Target="../ink/ink3.xml"/><Relationship Id="rId12" Type="http://schemas.openxmlformats.org/officeDocument/2006/relationships/image" Target="../media/image8.png"/><Relationship Id="rId2" Type="http://schemas.openxmlformats.org/officeDocument/2006/relationships/image" Target="../media/image2.png"/><Relationship Id="rId1" Type="http://schemas.openxmlformats.org/officeDocument/2006/relationships/image" Target="../media/image3.png"/><Relationship Id="rId6" Type="http://schemas.openxmlformats.org/officeDocument/2006/relationships/image" Target="../media/image5.png"/><Relationship Id="rId11" Type="http://schemas.openxmlformats.org/officeDocument/2006/relationships/customXml" Target="../ink/ink5.xml"/><Relationship Id="rId5" Type="http://schemas.openxmlformats.org/officeDocument/2006/relationships/customXml" Target="../ink/ink2.xml"/><Relationship Id="rId10" Type="http://schemas.openxmlformats.org/officeDocument/2006/relationships/image" Target="../media/image7.png"/><Relationship Id="rId4" Type="http://schemas.openxmlformats.org/officeDocument/2006/relationships/image" Target="../media/image4.png"/><Relationship Id="rId9" Type="http://schemas.openxmlformats.org/officeDocument/2006/relationships/customXml" Target="../ink/ink4.xml"/></Relationships>
</file>

<file path=xl/drawings/_rels/drawing4.xml.rels><?xml version="1.0" encoding="UTF-8" standalone="yes"?>
<Relationships xmlns="http://schemas.openxmlformats.org/package/2006/relationships"><Relationship Id="rId8" Type="http://schemas.openxmlformats.org/officeDocument/2006/relationships/customXml" Target="../ink/ink7.xml"/><Relationship Id="rId13" Type="http://schemas.openxmlformats.org/officeDocument/2006/relationships/image" Target="../media/image17.png"/><Relationship Id="rId26" Type="http://schemas.openxmlformats.org/officeDocument/2006/relationships/customXml" Target="../ink/ink14.xml"/><Relationship Id="rId3" Type="http://schemas.openxmlformats.org/officeDocument/2006/relationships/image" Target="../media/image11.png"/><Relationship Id="rId34" Type="http://schemas.openxmlformats.org/officeDocument/2006/relationships/customXml" Target="../ink/ink18.xml"/><Relationship Id="rId21" Type="http://schemas.openxmlformats.org/officeDocument/2006/relationships/image" Target="../media/image21.png"/><Relationship Id="rId7" Type="http://schemas.openxmlformats.org/officeDocument/2006/relationships/image" Target="../media/image14.png"/><Relationship Id="rId12" Type="http://schemas.openxmlformats.org/officeDocument/2006/relationships/customXml" Target="../ink/ink9.xml"/><Relationship Id="rId25" Type="http://schemas.openxmlformats.org/officeDocument/2006/relationships/image" Target="../media/image23.png"/><Relationship Id="rId33" Type="http://schemas.openxmlformats.org/officeDocument/2006/relationships/image" Target="../media/image27.png"/><Relationship Id="rId2" Type="http://schemas.openxmlformats.org/officeDocument/2006/relationships/image" Target="../media/image10.png"/><Relationship Id="rId16" Type="http://schemas.openxmlformats.org/officeDocument/2006/relationships/customXml" Target="../ink/ink11.xml"/><Relationship Id="rId20" Type="http://schemas.openxmlformats.org/officeDocument/2006/relationships/customXml" Target="../ink/ink12.xml"/><Relationship Id="rId29" Type="http://schemas.openxmlformats.org/officeDocument/2006/relationships/image" Target="../media/image25.png"/><Relationship Id="rId1" Type="http://schemas.openxmlformats.org/officeDocument/2006/relationships/image" Target="../media/image9.png"/><Relationship Id="rId6" Type="http://schemas.openxmlformats.org/officeDocument/2006/relationships/image" Target="../media/image13.png"/><Relationship Id="rId11" Type="http://schemas.openxmlformats.org/officeDocument/2006/relationships/image" Target="../media/image16.png"/><Relationship Id="rId24" Type="http://schemas.openxmlformats.org/officeDocument/2006/relationships/customXml" Target="../ink/ink13.xml"/><Relationship Id="rId32" Type="http://schemas.openxmlformats.org/officeDocument/2006/relationships/customXml" Target="../ink/ink17.xml"/><Relationship Id="rId37" Type="http://schemas.openxmlformats.org/officeDocument/2006/relationships/customXml" Target="../ink/ink20.xml"/><Relationship Id="rId5" Type="http://schemas.openxmlformats.org/officeDocument/2006/relationships/image" Target="../media/image12.png"/><Relationship Id="rId15" Type="http://schemas.openxmlformats.org/officeDocument/2006/relationships/image" Target="../media/image18.png"/><Relationship Id="rId23" Type="http://schemas.openxmlformats.org/officeDocument/2006/relationships/image" Target="../media/image22.png"/><Relationship Id="rId28" Type="http://schemas.openxmlformats.org/officeDocument/2006/relationships/customXml" Target="../ink/ink15.xml"/><Relationship Id="rId36" Type="http://schemas.openxmlformats.org/officeDocument/2006/relationships/customXml" Target="../ink/ink19.xml"/><Relationship Id="rId10" Type="http://schemas.openxmlformats.org/officeDocument/2006/relationships/customXml" Target="../ink/ink8.xml"/><Relationship Id="rId19" Type="http://schemas.openxmlformats.org/officeDocument/2006/relationships/image" Target="../media/image20.png"/><Relationship Id="rId31" Type="http://schemas.openxmlformats.org/officeDocument/2006/relationships/image" Target="../media/image26.png"/><Relationship Id="rId4" Type="http://schemas.openxmlformats.org/officeDocument/2006/relationships/image" Target="../media/image2.png"/><Relationship Id="rId9" Type="http://schemas.openxmlformats.org/officeDocument/2006/relationships/image" Target="../media/image15.png"/><Relationship Id="rId14" Type="http://schemas.openxmlformats.org/officeDocument/2006/relationships/customXml" Target="../ink/ink10.xml"/><Relationship Id="rId27" Type="http://schemas.openxmlformats.org/officeDocument/2006/relationships/image" Target="../media/image24.png"/><Relationship Id="rId30" Type="http://schemas.openxmlformats.org/officeDocument/2006/relationships/customXml" Target="../ink/ink16.xml"/><Relationship Id="rId35" Type="http://schemas.openxmlformats.org/officeDocument/2006/relationships/image" Target="../media/image28.png"/></Relationships>
</file>

<file path=xl/drawings/_rels/drawing5.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2177143</xdr:colOff>
      <xdr:row>10</xdr:row>
      <xdr:rowOff>40821</xdr:rowOff>
    </xdr:from>
    <xdr:to>
      <xdr:col>21</xdr:col>
      <xdr:colOff>365250</xdr:colOff>
      <xdr:row>24</xdr:row>
      <xdr:rowOff>30988</xdr:rowOff>
    </xdr:to>
    <xdr:pic>
      <xdr:nvPicPr>
        <xdr:cNvPr id="3" name="Picture 2">
          <a:extLst>
            <a:ext uri="{FF2B5EF4-FFF2-40B4-BE49-F238E27FC236}">
              <a16:creationId xmlns:a16="http://schemas.microsoft.com/office/drawing/2014/main" id="{7F457F24-6052-4D27-B042-3F0C34EC39F5}"/>
            </a:ext>
          </a:extLst>
        </xdr:cNvPr>
        <xdr:cNvPicPr>
          <a:picLocks noChangeAspect="1"/>
        </xdr:cNvPicPr>
      </xdr:nvPicPr>
      <xdr:blipFill>
        <a:blip xmlns:r="http://schemas.openxmlformats.org/officeDocument/2006/relationships" r:embed="rId1"/>
        <a:stretch>
          <a:fillRect/>
        </a:stretch>
      </xdr:blipFill>
      <xdr:spPr>
        <a:xfrm>
          <a:off x="8123464" y="2299607"/>
          <a:ext cx="6257143" cy="24666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15369</xdr:colOff>
      <xdr:row>66</xdr:row>
      <xdr:rowOff>123266</xdr:rowOff>
    </xdr:from>
    <xdr:to>
      <xdr:col>38</xdr:col>
      <xdr:colOff>3239157</xdr:colOff>
      <xdr:row>74</xdr:row>
      <xdr:rowOff>46321</xdr:rowOff>
    </xdr:to>
    <xdr:pic>
      <xdr:nvPicPr>
        <xdr:cNvPr id="2" name="Picture 1">
          <a:extLst>
            <a:ext uri="{FF2B5EF4-FFF2-40B4-BE49-F238E27FC236}">
              <a16:creationId xmlns:a16="http://schemas.microsoft.com/office/drawing/2014/main" id="{03F1D5F0-2363-4619-9DA7-4E253F63F2F8}"/>
            </a:ext>
          </a:extLst>
        </xdr:cNvPr>
        <xdr:cNvPicPr>
          <a:picLocks noChangeAspect="1"/>
        </xdr:cNvPicPr>
      </xdr:nvPicPr>
      <xdr:blipFill>
        <a:blip xmlns:r="http://schemas.openxmlformats.org/officeDocument/2006/relationships" r:embed="rId1"/>
        <a:stretch>
          <a:fillRect/>
        </a:stretch>
      </xdr:blipFill>
      <xdr:spPr>
        <a:xfrm>
          <a:off x="17808069" y="14201216"/>
          <a:ext cx="6820774" cy="14470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2184346</xdr:colOff>
      <xdr:row>12</xdr:row>
      <xdr:rowOff>91249</xdr:rowOff>
    </xdr:from>
    <xdr:to>
      <xdr:col>33</xdr:col>
      <xdr:colOff>312963</xdr:colOff>
      <xdr:row>42</xdr:row>
      <xdr:rowOff>153993</xdr:rowOff>
    </xdr:to>
    <xdr:pic>
      <xdr:nvPicPr>
        <xdr:cNvPr id="9" name="그림 2" descr="image004">
          <a:extLst>
            <a:ext uri="{FF2B5EF4-FFF2-40B4-BE49-F238E27FC236}">
              <a16:creationId xmlns:a16="http://schemas.microsoft.com/office/drawing/2014/main" id="{E1594801-0A78-4846-924E-FB461B2B68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27596" y="3248106"/>
          <a:ext cx="13409438" cy="5369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36</xdr:col>
      <xdr:colOff>15369</xdr:colOff>
      <xdr:row>71</xdr:row>
      <xdr:rowOff>123266</xdr:rowOff>
    </xdr:from>
    <xdr:to>
      <xdr:col>40</xdr:col>
      <xdr:colOff>3464293</xdr:colOff>
      <xdr:row>79</xdr:row>
      <xdr:rowOff>46321</xdr:rowOff>
    </xdr:to>
    <xdr:pic>
      <xdr:nvPicPr>
        <xdr:cNvPr id="5" name="Picture 4">
          <a:extLst>
            <a:ext uri="{FF2B5EF4-FFF2-40B4-BE49-F238E27FC236}">
              <a16:creationId xmlns:a16="http://schemas.microsoft.com/office/drawing/2014/main" id="{F190A766-B058-4118-8741-41B538436E94}"/>
            </a:ext>
          </a:extLst>
        </xdr:cNvPr>
        <xdr:cNvPicPr>
          <a:picLocks noChangeAspect="1"/>
        </xdr:cNvPicPr>
      </xdr:nvPicPr>
      <xdr:blipFill>
        <a:blip xmlns:r="http://schemas.openxmlformats.org/officeDocument/2006/relationships" r:embed="rId2"/>
        <a:stretch>
          <a:fillRect/>
        </a:stretch>
      </xdr:blipFill>
      <xdr:spPr>
        <a:xfrm>
          <a:off x="17808069" y="22964216"/>
          <a:ext cx="6820774" cy="1447055"/>
        </a:xfrm>
        <a:prstGeom prst="rect">
          <a:avLst/>
        </a:prstGeom>
      </xdr:spPr>
    </xdr:pic>
    <xdr:clientData/>
  </xdr:twoCellAnchor>
  <xdr:twoCellAnchor editAs="oneCell">
    <xdr:from>
      <xdr:col>13</xdr:col>
      <xdr:colOff>299356</xdr:colOff>
      <xdr:row>3</xdr:row>
      <xdr:rowOff>0</xdr:rowOff>
    </xdr:from>
    <xdr:to>
      <xdr:col>14</xdr:col>
      <xdr:colOff>108857</xdr:colOff>
      <xdr:row>15</xdr:row>
      <xdr:rowOff>68036</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2" name="Ink 11">
              <a:extLst>
                <a:ext uri="{FF2B5EF4-FFF2-40B4-BE49-F238E27FC236}">
                  <a16:creationId xmlns:a16="http://schemas.microsoft.com/office/drawing/2014/main" id="{3FA5C708-62EC-FC67-B2AF-56AC07970577}"/>
                </a:ext>
              </a:extLst>
            </xdr14:cNvPr>
            <xdr14:cNvContentPartPr/>
          </xdr14:nvContentPartPr>
          <xdr14:nvPr macro=""/>
          <xdr14:xfrm flipH="1">
            <a:off x="11375570" y="1102179"/>
            <a:ext cx="176894" cy="3156857"/>
          </xdr14:xfrm>
        </xdr:contentPart>
      </mc:Choice>
      <mc:Fallback xmlns="">
        <xdr:pic>
          <xdr:nvPicPr>
            <xdr:cNvPr id="12" name="Ink 11">
              <a:extLst>
                <a:ext uri="{FF2B5EF4-FFF2-40B4-BE49-F238E27FC236}">
                  <a16:creationId xmlns:a16="http://schemas.microsoft.com/office/drawing/2014/main" id="{3FA5C708-62EC-FC67-B2AF-56AC07970577}"/>
                </a:ext>
              </a:extLst>
            </xdr:cNvPr>
            <xdr:cNvPicPr/>
          </xdr:nvPicPr>
          <xdr:blipFill>
            <a:blip xmlns:r="http://schemas.openxmlformats.org/officeDocument/2006/relationships" r:embed="rId4"/>
            <a:stretch>
              <a:fillRect/>
            </a:stretch>
          </xdr:blipFill>
          <xdr:spPr>
            <a:xfrm>
              <a:off x="6389403" y="1041474"/>
              <a:ext cx="5046961" cy="3537013"/>
            </a:xfrm>
            <a:prstGeom prst="rect">
              <a:avLst/>
            </a:prstGeom>
          </xdr:spPr>
        </xdr:pic>
      </mc:Fallback>
    </mc:AlternateContent>
    <xdr:clientData/>
  </xdr:twoCellAnchor>
  <xdr:twoCellAnchor editAs="oneCell">
    <xdr:from>
      <xdr:col>5</xdr:col>
      <xdr:colOff>1056034</xdr:colOff>
      <xdr:row>15</xdr:row>
      <xdr:rowOff>0</xdr:rowOff>
    </xdr:from>
    <xdr:to>
      <xdr:col>5</xdr:col>
      <xdr:colOff>1299034</xdr:colOff>
      <xdr:row>16</xdr:row>
      <xdr:rowOff>45300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3" name="Ink 12">
              <a:extLst>
                <a:ext uri="{FF2B5EF4-FFF2-40B4-BE49-F238E27FC236}">
                  <a16:creationId xmlns:a16="http://schemas.microsoft.com/office/drawing/2014/main" id="{B60C6705-9773-AB38-636F-12AF1A2FAEA8}"/>
                </a:ext>
              </a:extLst>
            </xdr14:cNvPr>
            <xdr14:cNvContentPartPr/>
          </xdr14:nvContentPartPr>
          <xdr14:nvPr macro=""/>
          <xdr14:xfrm>
            <a:off x="6294784" y="4364280"/>
            <a:ext cx="243000" cy="235800"/>
          </xdr14:xfrm>
        </xdr:contentPart>
      </mc:Choice>
      <mc:Fallback xmlns="">
        <xdr:pic>
          <xdr:nvPicPr>
            <xdr:cNvPr id="13" name="Ink 12">
              <a:extLst>
                <a:ext uri="{FF2B5EF4-FFF2-40B4-BE49-F238E27FC236}">
                  <a16:creationId xmlns:a16="http://schemas.microsoft.com/office/drawing/2014/main" id="{B60C6705-9773-AB38-636F-12AF1A2FAEA8}"/>
                </a:ext>
              </a:extLst>
            </xdr:cNvPr>
            <xdr:cNvPicPr/>
          </xdr:nvPicPr>
          <xdr:blipFill>
            <a:blip xmlns:r="http://schemas.openxmlformats.org/officeDocument/2006/relationships" r:embed="rId6"/>
            <a:stretch>
              <a:fillRect/>
            </a:stretch>
          </xdr:blipFill>
          <xdr:spPr>
            <a:xfrm>
              <a:off x="6288664" y="4358160"/>
              <a:ext cx="255240" cy="248040"/>
            </a:xfrm>
            <a:prstGeom prst="rect">
              <a:avLst/>
            </a:prstGeom>
          </xdr:spPr>
        </xdr:pic>
      </mc:Fallback>
    </mc:AlternateContent>
    <xdr:clientData/>
  </xdr:twoCellAnchor>
  <xdr:twoCellAnchor editAs="oneCell">
    <xdr:from>
      <xdr:col>5</xdr:col>
      <xdr:colOff>1378322</xdr:colOff>
      <xdr:row>2</xdr:row>
      <xdr:rowOff>680280</xdr:rowOff>
    </xdr:from>
    <xdr:to>
      <xdr:col>25</xdr:col>
      <xdr:colOff>179292</xdr:colOff>
      <xdr:row>15</xdr:row>
      <xdr:rowOff>164083</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4" name="Ink 13">
              <a:extLst>
                <a:ext uri="{FF2B5EF4-FFF2-40B4-BE49-F238E27FC236}">
                  <a16:creationId xmlns:a16="http://schemas.microsoft.com/office/drawing/2014/main" id="{15FF29B6-4A45-BA19-7CE5-EF3D19A44924}"/>
                </a:ext>
              </a:extLst>
            </xdr14:cNvPr>
            <xdr14:cNvContentPartPr/>
          </xdr14:nvContentPartPr>
          <xdr14:nvPr macro=""/>
          <xdr14:xfrm flipH="1">
            <a:off x="7328646" y="1038868"/>
            <a:ext cx="8191499" cy="3341295"/>
          </xdr14:xfrm>
        </xdr:contentPart>
      </mc:Choice>
      <mc:Fallback xmlns="">
        <xdr:pic>
          <xdr:nvPicPr>
            <xdr:cNvPr id="14" name="Ink 13">
              <a:extLst>
                <a:ext uri="{FF2B5EF4-FFF2-40B4-BE49-F238E27FC236}">
                  <a16:creationId xmlns:a16="http://schemas.microsoft.com/office/drawing/2014/main" id="{15FF29B6-4A45-BA19-7CE5-EF3D19A44924}"/>
                </a:ext>
              </a:extLst>
            </xdr:cNvPr>
            <xdr:cNvPicPr/>
          </xdr:nvPicPr>
          <xdr:blipFill>
            <a:blip xmlns:r="http://schemas.openxmlformats.org/officeDocument/2006/relationships" r:embed="rId8"/>
            <a:stretch>
              <a:fillRect/>
            </a:stretch>
          </xdr:blipFill>
          <xdr:spPr>
            <a:xfrm>
              <a:off x="10239664" y="1055160"/>
              <a:ext cx="1252440" cy="3552840"/>
            </a:xfrm>
            <a:prstGeom prst="rect">
              <a:avLst/>
            </a:prstGeom>
          </xdr:spPr>
        </xdr:pic>
      </mc:Fallback>
    </mc:AlternateContent>
    <xdr:clientData/>
  </xdr:twoCellAnchor>
  <xdr:twoCellAnchor editAs="oneCell">
    <xdr:from>
      <xdr:col>9</xdr:col>
      <xdr:colOff>358585</xdr:colOff>
      <xdr:row>3</xdr:row>
      <xdr:rowOff>27213</xdr:rowOff>
    </xdr:from>
    <xdr:to>
      <xdr:col>10</xdr:col>
      <xdr:colOff>190499</xdr:colOff>
      <xdr:row>19</xdr:row>
      <xdr:rowOff>90714</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5" name="Ink 14">
              <a:extLst>
                <a:ext uri="{FF2B5EF4-FFF2-40B4-BE49-F238E27FC236}">
                  <a16:creationId xmlns:a16="http://schemas.microsoft.com/office/drawing/2014/main" id="{7D563243-27CE-7D7D-4FD9-E593E6FDC5CF}"/>
                </a:ext>
              </a:extLst>
            </xdr14:cNvPr>
            <xdr14:cNvContentPartPr/>
          </xdr14:nvContentPartPr>
          <xdr14:nvPr macro=""/>
          <xdr14:xfrm flipH="1">
            <a:off x="9965228" y="1129392"/>
            <a:ext cx="199307" cy="3859893"/>
          </xdr14:xfrm>
        </xdr:contentPart>
      </mc:Choice>
      <mc:Fallback xmlns="">
        <xdr:pic>
          <xdr:nvPicPr>
            <xdr:cNvPr id="15" name="Ink 14">
              <a:extLst>
                <a:ext uri="{FF2B5EF4-FFF2-40B4-BE49-F238E27FC236}">
                  <a16:creationId xmlns:a16="http://schemas.microsoft.com/office/drawing/2014/main" id="{7D563243-27CE-7D7D-4FD9-E593E6FDC5CF}"/>
                </a:ext>
              </a:extLst>
            </xdr:cNvPr>
            <xdr:cNvPicPr/>
          </xdr:nvPicPr>
          <xdr:blipFill>
            <a:blip xmlns:r="http://schemas.openxmlformats.org/officeDocument/2006/relationships" r:embed="rId10"/>
            <a:stretch>
              <a:fillRect/>
            </a:stretch>
          </xdr:blipFill>
          <xdr:spPr>
            <a:xfrm>
              <a:off x="8932864" y="1109160"/>
              <a:ext cx="1083240" cy="3575160"/>
            </a:xfrm>
            <a:prstGeom prst="rect">
              <a:avLst/>
            </a:prstGeom>
          </xdr:spPr>
        </xdr:pic>
      </mc:Fallback>
    </mc:AlternateContent>
    <xdr:clientData/>
  </xdr:twoCellAnchor>
  <xdr:twoCellAnchor editAs="oneCell">
    <xdr:from>
      <xdr:col>9</xdr:col>
      <xdr:colOff>258536</xdr:colOff>
      <xdr:row>3</xdr:row>
      <xdr:rowOff>81642</xdr:rowOff>
    </xdr:from>
    <xdr:to>
      <xdr:col>26</xdr:col>
      <xdr:colOff>327834</xdr:colOff>
      <xdr:row>16</xdr:row>
      <xdr:rowOff>17710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6" name="Ink 15">
              <a:extLst>
                <a:ext uri="{FF2B5EF4-FFF2-40B4-BE49-F238E27FC236}">
                  <a16:creationId xmlns:a16="http://schemas.microsoft.com/office/drawing/2014/main" id="{D864ED34-670E-BD05-BECB-89558BC44355}"/>
                </a:ext>
              </a:extLst>
            </xdr14:cNvPr>
            <xdr14:cNvContentPartPr/>
          </xdr14:nvContentPartPr>
          <xdr14:nvPr macro=""/>
          <xdr14:xfrm>
            <a:off x="9865179" y="1183821"/>
            <a:ext cx="6314976" cy="3201782"/>
          </xdr14:xfrm>
        </xdr:contentPart>
      </mc:Choice>
      <mc:Fallback xmlns="">
        <xdr:pic>
          <xdr:nvPicPr>
            <xdr:cNvPr id="16" name="Ink 15">
              <a:extLst>
                <a:ext uri="{FF2B5EF4-FFF2-40B4-BE49-F238E27FC236}">
                  <a16:creationId xmlns:a16="http://schemas.microsoft.com/office/drawing/2014/main" id="{D864ED34-670E-BD05-BECB-89558BC44355}"/>
                </a:ext>
              </a:extLst>
            </xdr:cNvPr>
            <xdr:cNvPicPr/>
          </xdr:nvPicPr>
          <xdr:blipFill>
            <a:blip xmlns:r="http://schemas.openxmlformats.org/officeDocument/2006/relationships" r:embed="rId12"/>
            <a:stretch>
              <a:fillRect/>
            </a:stretch>
          </xdr:blipFill>
          <xdr:spPr>
            <a:xfrm>
              <a:off x="8581120" y="1055154"/>
              <a:ext cx="6285288" cy="3456373"/>
            </a:xfrm>
            <a:prstGeom prst="rect">
              <a:avLst/>
            </a:prstGeom>
          </xdr:spPr>
        </xdr:pic>
      </mc:Fallback>
    </mc:AlternateContent>
    <xdr:clientData/>
  </xdr:twoCellAnchor>
  <xdr:twoCellAnchor editAs="oneCell">
    <xdr:from>
      <xdr:col>13</xdr:col>
      <xdr:colOff>299357</xdr:colOff>
      <xdr:row>2</xdr:row>
      <xdr:rowOff>707571</xdr:rowOff>
    </xdr:from>
    <xdr:to>
      <xdr:col>22</xdr:col>
      <xdr:colOff>340179</xdr:colOff>
      <xdr:row>15</xdr:row>
      <xdr:rowOff>136071</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1" name="Ink 10">
              <a:extLst>
                <a:ext uri="{FF2B5EF4-FFF2-40B4-BE49-F238E27FC236}">
                  <a16:creationId xmlns:a16="http://schemas.microsoft.com/office/drawing/2014/main" id="{CF035B44-3606-437B-8702-F624433A77FE}"/>
                </a:ext>
              </a:extLst>
            </xdr14:cNvPr>
            <xdr14:cNvContentPartPr/>
          </xdr14:nvContentPartPr>
          <xdr14:nvPr macro=""/>
          <xdr14:xfrm flipH="1">
            <a:off x="11375571" y="1061357"/>
            <a:ext cx="3347358" cy="3265714"/>
          </xdr14:xfrm>
        </xdr:contentPart>
      </mc:Choice>
      <mc:Fallback xmlns="">
        <xdr:pic>
          <xdr:nvPicPr>
            <xdr:cNvPr id="12" name="Ink 11">
              <a:extLst>
                <a:ext uri="{FF2B5EF4-FFF2-40B4-BE49-F238E27FC236}">
                  <a16:creationId xmlns:a16="http://schemas.microsoft.com/office/drawing/2014/main" id="{3FA5C708-62EC-FC67-B2AF-56AC07970577}"/>
                </a:ext>
              </a:extLst>
            </xdr:cNvPr>
            <xdr:cNvPicPr/>
          </xdr:nvPicPr>
          <xdr:blipFill>
            <a:blip xmlns:r="http://schemas.openxmlformats.org/officeDocument/2006/relationships" r:embed="rId4"/>
            <a:stretch>
              <a:fillRect/>
            </a:stretch>
          </xdr:blipFill>
          <xdr:spPr>
            <a:xfrm>
              <a:off x="6389403" y="1041474"/>
              <a:ext cx="5046961" cy="3537013"/>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711200</xdr:colOff>
      <xdr:row>12</xdr:row>
      <xdr:rowOff>126999</xdr:rowOff>
    </xdr:from>
    <xdr:to>
      <xdr:col>34</xdr:col>
      <xdr:colOff>292100</xdr:colOff>
      <xdr:row>22</xdr:row>
      <xdr:rowOff>138112</xdr:rowOff>
    </xdr:to>
    <xdr:pic>
      <xdr:nvPicPr>
        <xdr:cNvPr id="11" name="Picture 10">
          <a:extLst>
            <a:ext uri="{FF2B5EF4-FFF2-40B4-BE49-F238E27FC236}">
              <a16:creationId xmlns:a16="http://schemas.microsoft.com/office/drawing/2014/main" id="{95086729-D26D-4281-92DA-25CFC0B49758}"/>
            </a:ext>
          </a:extLst>
        </xdr:cNvPr>
        <xdr:cNvPicPr>
          <a:picLocks noChangeAspect="1"/>
        </xdr:cNvPicPr>
      </xdr:nvPicPr>
      <xdr:blipFill>
        <a:blip xmlns:r="http://schemas.openxmlformats.org/officeDocument/2006/relationships" r:embed="rId1"/>
        <a:stretch>
          <a:fillRect/>
        </a:stretch>
      </xdr:blipFill>
      <xdr:spPr>
        <a:xfrm>
          <a:off x="3048000" y="4229099"/>
          <a:ext cx="16408400" cy="2754313"/>
        </a:xfrm>
        <a:prstGeom prst="rect">
          <a:avLst/>
        </a:prstGeom>
      </xdr:spPr>
    </xdr:pic>
    <xdr:clientData/>
  </xdr:twoCellAnchor>
  <xdr:twoCellAnchor editAs="oneCell">
    <xdr:from>
      <xdr:col>13</xdr:col>
      <xdr:colOff>302561</xdr:colOff>
      <xdr:row>57</xdr:row>
      <xdr:rowOff>180314</xdr:rowOff>
    </xdr:from>
    <xdr:to>
      <xdr:col>31</xdr:col>
      <xdr:colOff>34777</xdr:colOff>
      <xdr:row>62</xdr:row>
      <xdr:rowOff>85184</xdr:rowOff>
    </xdr:to>
    <xdr:pic>
      <xdr:nvPicPr>
        <xdr:cNvPr id="3" name="Picture 2">
          <a:extLst>
            <a:ext uri="{FF2B5EF4-FFF2-40B4-BE49-F238E27FC236}">
              <a16:creationId xmlns:a16="http://schemas.microsoft.com/office/drawing/2014/main" id="{CEB96B10-C6A5-E799-CFD8-5D57725AB763}"/>
            </a:ext>
          </a:extLst>
        </xdr:cNvPr>
        <xdr:cNvPicPr>
          <a:picLocks noChangeAspect="1"/>
        </xdr:cNvPicPr>
      </xdr:nvPicPr>
      <xdr:blipFill>
        <a:blip xmlns:r="http://schemas.openxmlformats.org/officeDocument/2006/relationships" r:embed="rId2"/>
        <a:stretch>
          <a:fillRect/>
        </a:stretch>
      </xdr:blipFill>
      <xdr:spPr>
        <a:xfrm>
          <a:off x="9973237" y="15588402"/>
          <a:ext cx="5379981" cy="857370"/>
        </a:xfrm>
        <a:prstGeom prst="rect">
          <a:avLst/>
        </a:prstGeom>
      </xdr:spPr>
    </xdr:pic>
    <xdr:clientData/>
  </xdr:twoCellAnchor>
  <xdr:twoCellAnchor editAs="oneCell">
    <xdr:from>
      <xdr:col>35</xdr:col>
      <xdr:colOff>510821</xdr:colOff>
      <xdr:row>75</xdr:row>
      <xdr:rowOff>108950</xdr:rowOff>
    </xdr:from>
    <xdr:to>
      <xdr:col>40</xdr:col>
      <xdr:colOff>3521849</xdr:colOff>
      <xdr:row>99</xdr:row>
      <xdr:rowOff>1148</xdr:rowOff>
    </xdr:to>
    <xdr:pic>
      <xdr:nvPicPr>
        <xdr:cNvPr id="4" name="Picture 3">
          <a:extLst>
            <a:ext uri="{FF2B5EF4-FFF2-40B4-BE49-F238E27FC236}">
              <a16:creationId xmlns:a16="http://schemas.microsoft.com/office/drawing/2014/main" id="{B71243D5-32BF-6662-BF1C-2D9F377AE68C}"/>
            </a:ext>
          </a:extLst>
        </xdr:cNvPr>
        <xdr:cNvPicPr>
          <a:picLocks noChangeAspect="1"/>
        </xdr:cNvPicPr>
      </xdr:nvPicPr>
      <xdr:blipFill>
        <a:blip xmlns:r="http://schemas.openxmlformats.org/officeDocument/2006/relationships" r:embed="rId3"/>
        <a:stretch>
          <a:fillRect/>
        </a:stretch>
      </xdr:blipFill>
      <xdr:spPr>
        <a:xfrm>
          <a:off x="17667027" y="18755538"/>
          <a:ext cx="6985914" cy="4446880"/>
        </a:xfrm>
        <a:prstGeom prst="rect">
          <a:avLst/>
        </a:prstGeom>
      </xdr:spPr>
    </xdr:pic>
    <xdr:clientData/>
  </xdr:twoCellAnchor>
  <xdr:twoCellAnchor editAs="oneCell">
    <xdr:from>
      <xdr:col>36</xdr:col>
      <xdr:colOff>15369</xdr:colOff>
      <xdr:row>99</xdr:row>
      <xdr:rowOff>123266</xdr:rowOff>
    </xdr:from>
    <xdr:to>
      <xdr:col>40</xdr:col>
      <xdr:colOff>3464293</xdr:colOff>
      <xdr:row>107</xdr:row>
      <xdr:rowOff>46321</xdr:rowOff>
    </xdr:to>
    <xdr:pic>
      <xdr:nvPicPr>
        <xdr:cNvPr id="5" name="Picture 4">
          <a:extLst>
            <a:ext uri="{FF2B5EF4-FFF2-40B4-BE49-F238E27FC236}">
              <a16:creationId xmlns:a16="http://schemas.microsoft.com/office/drawing/2014/main" id="{00B798D1-43DF-50FA-EA0C-D47789598E6A}"/>
            </a:ext>
          </a:extLst>
        </xdr:cNvPr>
        <xdr:cNvPicPr>
          <a:picLocks noChangeAspect="1"/>
        </xdr:cNvPicPr>
      </xdr:nvPicPr>
      <xdr:blipFill>
        <a:blip xmlns:r="http://schemas.openxmlformats.org/officeDocument/2006/relationships" r:embed="rId4"/>
        <a:stretch>
          <a:fillRect/>
        </a:stretch>
      </xdr:blipFill>
      <xdr:spPr>
        <a:xfrm>
          <a:off x="17776693" y="23341854"/>
          <a:ext cx="6816291" cy="1447055"/>
        </a:xfrm>
        <a:prstGeom prst="rect">
          <a:avLst/>
        </a:prstGeom>
      </xdr:spPr>
    </xdr:pic>
    <xdr:clientData/>
  </xdr:twoCellAnchor>
  <xdr:twoCellAnchor editAs="oneCell">
    <xdr:from>
      <xdr:col>13</xdr:col>
      <xdr:colOff>103909</xdr:colOff>
      <xdr:row>63</xdr:row>
      <xdr:rowOff>0</xdr:rowOff>
    </xdr:from>
    <xdr:to>
      <xdr:col>32</xdr:col>
      <xdr:colOff>249363</xdr:colOff>
      <xdr:row>96</xdr:row>
      <xdr:rowOff>29456</xdr:rowOff>
    </xdr:to>
    <xdr:pic>
      <xdr:nvPicPr>
        <xdr:cNvPr id="6" name="Picture 5">
          <a:extLst>
            <a:ext uri="{FF2B5EF4-FFF2-40B4-BE49-F238E27FC236}">
              <a16:creationId xmlns:a16="http://schemas.microsoft.com/office/drawing/2014/main" id="{26EA6CC0-2761-B410-5EF1-80342C388556}"/>
            </a:ext>
          </a:extLst>
        </xdr:cNvPr>
        <xdr:cNvPicPr>
          <a:picLocks noChangeAspect="1"/>
        </xdr:cNvPicPr>
      </xdr:nvPicPr>
      <xdr:blipFill>
        <a:blip xmlns:r="http://schemas.openxmlformats.org/officeDocument/2006/relationships" r:embed="rId5"/>
        <a:stretch>
          <a:fillRect/>
        </a:stretch>
      </xdr:blipFill>
      <xdr:spPr>
        <a:xfrm>
          <a:off x="9732818" y="15257318"/>
          <a:ext cx="6068272" cy="6315956"/>
        </a:xfrm>
        <a:prstGeom prst="rect">
          <a:avLst/>
        </a:prstGeom>
      </xdr:spPr>
    </xdr:pic>
    <xdr:clientData/>
  </xdr:twoCellAnchor>
  <xdr:twoCellAnchor editAs="oneCell">
    <xdr:from>
      <xdr:col>36</xdr:col>
      <xdr:colOff>398318</xdr:colOff>
      <xdr:row>52</xdr:row>
      <xdr:rowOff>124283</xdr:rowOff>
    </xdr:from>
    <xdr:to>
      <xdr:col>40</xdr:col>
      <xdr:colOff>2444962</xdr:colOff>
      <xdr:row>76</xdr:row>
      <xdr:rowOff>10605</xdr:rowOff>
    </xdr:to>
    <xdr:pic>
      <xdr:nvPicPr>
        <xdr:cNvPr id="7" name="Picture 6">
          <a:extLst>
            <a:ext uri="{FF2B5EF4-FFF2-40B4-BE49-F238E27FC236}">
              <a16:creationId xmlns:a16="http://schemas.microsoft.com/office/drawing/2014/main" id="{D299B8DA-464E-13CE-8477-20F193FDBD3C}"/>
            </a:ext>
          </a:extLst>
        </xdr:cNvPr>
        <xdr:cNvPicPr>
          <a:picLocks noChangeAspect="1"/>
        </xdr:cNvPicPr>
      </xdr:nvPicPr>
      <xdr:blipFill>
        <a:blip xmlns:r="http://schemas.openxmlformats.org/officeDocument/2006/relationships" r:embed="rId6"/>
        <a:stretch>
          <a:fillRect/>
        </a:stretch>
      </xdr:blipFill>
      <xdr:spPr>
        <a:xfrm>
          <a:off x="18159642" y="14389371"/>
          <a:ext cx="5414011" cy="4458322"/>
        </a:xfrm>
        <a:prstGeom prst="rect">
          <a:avLst/>
        </a:prstGeom>
      </xdr:spPr>
    </xdr:pic>
    <xdr:clientData/>
  </xdr:twoCellAnchor>
  <xdr:twoCellAnchor editAs="oneCell">
    <xdr:from>
      <xdr:col>4</xdr:col>
      <xdr:colOff>640773</xdr:colOff>
      <xdr:row>24</xdr:row>
      <xdr:rowOff>242455</xdr:rowOff>
    </xdr:from>
    <xdr:to>
      <xdr:col>24</xdr:col>
      <xdr:colOff>186807</xdr:colOff>
      <xdr:row>40</xdr:row>
      <xdr:rowOff>154361</xdr:rowOff>
    </xdr:to>
    <xdr:pic>
      <xdr:nvPicPr>
        <xdr:cNvPr id="8" name="Picture 7">
          <a:extLst>
            <a:ext uri="{FF2B5EF4-FFF2-40B4-BE49-F238E27FC236}">
              <a16:creationId xmlns:a16="http://schemas.microsoft.com/office/drawing/2014/main" id="{F49CA8AD-87F3-45A9-8C8F-5B8E34609926}"/>
            </a:ext>
          </a:extLst>
        </xdr:cNvPr>
        <xdr:cNvPicPr>
          <a:picLocks noChangeAspect="1"/>
        </xdr:cNvPicPr>
      </xdr:nvPicPr>
      <xdr:blipFill>
        <a:blip xmlns:r="http://schemas.openxmlformats.org/officeDocument/2006/relationships" r:embed="rId7"/>
        <a:stretch>
          <a:fillRect/>
        </a:stretch>
      </xdr:blipFill>
      <xdr:spPr>
        <a:xfrm>
          <a:off x="3394364" y="7654637"/>
          <a:ext cx="9850352" cy="4483906"/>
        </a:xfrm>
        <a:prstGeom prst="rect">
          <a:avLst/>
        </a:prstGeom>
      </xdr:spPr>
    </xdr:pic>
    <xdr:clientData/>
  </xdr:twoCellAnchor>
  <xdr:twoCellAnchor editAs="oneCell">
    <xdr:from>
      <xdr:col>4</xdr:col>
      <xdr:colOff>1618963</xdr:colOff>
      <xdr:row>9</xdr:row>
      <xdr:rowOff>26867</xdr:rowOff>
    </xdr:from>
    <xdr:to>
      <xdr:col>38</xdr:col>
      <xdr:colOff>40838</xdr:colOff>
      <xdr:row>14</xdr:row>
      <xdr:rowOff>7847</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2" name="Ink 11">
              <a:extLst>
                <a:ext uri="{FF2B5EF4-FFF2-40B4-BE49-F238E27FC236}">
                  <a16:creationId xmlns:a16="http://schemas.microsoft.com/office/drawing/2014/main" id="{DA300E10-A632-8195-AB7C-6657F0FCA478}"/>
                </a:ext>
              </a:extLst>
            </xdr14:cNvPr>
            <xdr14:cNvContentPartPr/>
          </xdr14:nvContentPartPr>
          <xdr14:nvPr macro=""/>
          <xdr14:xfrm>
            <a:off x="4408427" y="3632760"/>
            <a:ext cx="15117840" cy="933480"/>
          </xdr14:xfrm>
        </xdr:contentPart>
      </mc:Choice>
      <mc:Fallback xmlns="">
        <xdr:pic>
          <xdr:nvPicPr>
            <xdr:cNvPr id="12" name="Ink 11">
              <a:extLst>
                <a:ext uri="{FF2B5EF4-FFF2-40B4-BE49-F238E27FC236}">
                  <a16:creationId xmlns:a16="http://schemas.microsoft.com/office/drawing/2014/main" id="{DA300E10-A632-8195-AB7C-6657F0FCA478}"/>
                </a:ext>
              </a:extLst>
            </xdr:cNvPr>
            <xdr:cNvPicPr/>
          </xdr:nvPicPr>
          <xdr:blipFill>
            <a:blip xmlns:r="http://schemas.openxmlformats.org/officeDocument/2006/relationships" r:embed="rId9"/>
            <a:stretch>
              <a:fillRect/>
            </a:stretch>
          </xdr:blipFill>
          <xdr:spPr>
            <a:xfrm>
              <a:off x="4403720" y="3628080"/>
              <a:ext cx="15126530" cy="942120"/>
            </a:xfrm>
            <a:prstGeom prst="rect">
              <a:avLst/>
            </a:prstGeom>
          </xdr:spPr>
        </xdr:pic>
      </mc:Fallback>
    </mc:AlternateContent>
    <xdr:clientData/>
  </xdr:twoCellAnchor>
  <xdr:twoCellAnchor editAs="oneCell">
    <xdr:from>
      <xdr:col>33</xdr:col>
      <xdr:colOff>336321</xdr:colOff>
      <xdr:row>15</xdr:row>
      <xdr:rowOff>27227</xdr:rowOff>
    </xdr:from>
    <xdr:to>
      <xdr:col>38</xdr:col>
      <xdr:colOff>109238</xdr:colOff>
      <xdr:row>16</xdr:row>
      <xdr:rowOff>42287</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4" name="Ink 13">
              <a:extLst>
                <a:ext uri="{FF2B5EF4-FFF2-40B4-BE49-F238E27FC236}">
                  <a16:creationId xmlns:a16="http://schemas.microsoft.com/office/drawing/2014/main" id="{B3587675-D0D3-6848-A5B9-40AA58F294AC}"/>
                </a:ext>
              </a:extLst>
            </xdr14:cNvPr>
            <xdr14:cNvContentPartPr/>
          </xdr14:nvContentPartPr>
          <xdr14:nvPr macro=""/>
          <xdr14:xfrm>
            <a:off x="16311107" y="4776120"/>
            <a:ext cx="3283560" cy="205560"/>
          </xdr14:xfrm>
        </xdr:contentPart>
      </mc:Choice>
      <mc:Fallback xmlns="">
        <xdr:pic>
          <xdr:nvPicPr>
            <xdr:cNvPr id="14" name="Ink 13">
              <a:extLst>
                <a:ext uri="{FF2B5EF4-FFF2-40B4-BE49-F238E27FC236}">
                  <a16:creationId xmlns:a16="http://schemas.microsoft.com/office/drawing/2014/main" id="{B3587675-D0D3-6848-A5B9-40AA58F294AC}"/>
                </a:ext>
              </a:extLst>
            </xdr:cNvPr>
            <xdr:cNvPicPr/>
          </xdr:nvPicPr>
          <xdr:blipFill>
            <a:blip xmlns:r="http://schemas.openxmlformats.org/officeDocument/2006/relationships" r:embed="rId11"/>
            <a:stretch>
              <a:fillRect/>
            </a:stretch>
          </xdr:blipFill>
          <xdr:spPr>
            <a:xfrm>
              <a:off x="16306771" y="4771800"/>
              <a:ext cx="3292232" cy="214200"/>
            </a:xfrm>
            <a:prstGeom prst="rect">
              <a:avLst/>
            </a:prstGeom>
          </xdr:spPr>
        </xdr:pic>
      </mc:Fallback>
    </mc:AlternateContent>
    <xdr:clientData/>
  </xdr:twoCellAnchor>
  <xdr:twoCellAnchor editAs="oneCell">
    <xdr:from>
      <xdr:col>24</xdr:col>
      <xdr:colOff>149520</xdr:colOff>
      <xdr:row>12</xdr:row>
      <xdr:rowOff>95087</xdr:rowOff>
    </xdr:from>
    <xdr:to>
      <xdr:col>38</xdr:col>
      <xdr:colOff>176918</xdr:colOff>
      <xdr:row>18</xdr:row>
      <xdr:rowOff>280562</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6" name="Ink 15">
              <a:extLst>
                <a:ext uri="{FF2B5EF4-FFF2-40B4-BE49-F238E27FC236}">
                  <a16:creationId xmlns:a16="http://schemas.microsoft.com/office/drawing/2014/main" id="{E1775FFA-4362-BE23-C753-9CE7CFF1EF12}"/>
                </a:ext>
              </a:extLst>
            </xdr14:cNvPr>
            <xdr14:cNvContentPartPr/>
          </xdr14:nvContentPartPr>
          <xdr14:nvPr macro=""/>
          <xdr14:xfrm>
            <a:off x="13307627" y="4272480"/>
            <a:ext cx="6354720" cy="1719000"/>
          </xdr14:xfrm>
        </xdr:contentPart>
      </mc:Choice>
      <mc:Fallback xmlns="">
        <xdr:pic>
          <xdr:nvPicPr>
            <xdr:cNvPr id="16" name="Ink 15">
              <a:extLst>
                <a:ext uri="{FF2B5EF4-FFF2-40B4-BE49-F238E27FC236}">
                  <a16:creationId xmlns:a16="http://schemas.microsoft.com/office/drawing/2014/main" id="{E1775FFA-4362-BE23-C753-9CE7CFF1EF12}"/>
                </a:ext>
              </a:extLst>
            </xdr:cNvPr>
            <xdr:cNvPicPr/>
          </xdr:nvPicPr>
          <xdr:blipFill>
            <a:blip xmlns:r="http://schemas.openxmlformats.org/officeDocument/2006/relationships" r:embed="rId13"/>
            <a:stretch>
              <a:fillRect/>
            </a:stretch>
          </xdr:blipFill>
          <xdr:spPr>
            <a:xfrm>
              <a:off x="13303291" y="4267800"/>
              <a:ext cx="6363392" cy="1727640"/>
            </a:xfrm>
            <a:prstGeom prst="rect">
              <a:avLst/>
            </a:prstGeom>
          </xdr:spPr>
        </xdr:pic>
      </mc:Fallback>
    </mc:AlternateContent>
    <xdr:clientData/>
  </xdr:twoCellAnchor>
  <xdr:twoCellAnchor editAs="oneCell">
    <xdr:from>
      <xdr:col>4</xdr:col>
      <xdr:colOff>2173723</xdr:colOff>
      <xdr:row>18</xdr:row>
      <xdr:rowOff>313462</xdr:rowOff>
    </xdr:from>
    <xdr:to>
      <xdr:col>24</xdr:col>
      <xdr:colOff>244929</xdr:colOff>
      <xdr:row>24</xdr:row>
      <xdr:rowOff>176894</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7" name="Ink 16">
              <a:extLst>
                <a:ext uri="{FF2B5EF4-FFF2-40B4-BE49-F238E27FC236}">
                  <a16:creationId xmlns:a16="http://schemas.microsoft.com/office/drawing/2014/main" id="{53A690AD-EAF7-E3E0-6DE6-449349AC0835}"/>
                </a:ext>
              </a:extLst>
            </xdr14:cNvPr>
            <xdr14:cNvContentPartPr/>
          </xdr14:nvContentPartPr>
          <xdr14:nvPr macro=""/>
          <xdr14:xfrm>
            <a:off x="4963187" y="5633855"/>
            <a:ext cx="8439849" cy="1958932"/>
          </xdr14:xfrm>
        </xdr:contentPart>
      </mc:Choice>
      <mc:Fallback xmlns="">
        <xdr:pic>
          <xdr:nvPicPr>
            <xdr:cNvPr id="17" name="Ink 16">
              <a:extLst>
                <a:ext uri="{FF2B5EF4-FFF2-40B4-BE49-F238E27FC236}">
                  <a16:creationId xmlns:a16="http://schemas.microsoft.com/office/drawing/2014/main" id="{53A690AD-EAF7-E3E0-6DE6-449349AC0835}"/>
                </a:ext>
              </a:extLst>
            </xdr:cNvPr>
            <xdr:cNvPicPr/>
          </xdr:nvPicPr>
          <xdr:blipFill>
            <a:blip xmlns:r="http://schemas.openxmlformats.org/officeDocument/2006/relationships" r:embed="rId15"/>
            <a:stretch>
              <a:fillRect/>
            </a:stretch>
          </xdr:blipFill>
          <xdr:spPr>
            <a:xfrm>
              <a:off x="4958834" y="5629535"/>
              <a:ext cx="8448555" cy="1967571"/>
            </a:xfrm>
            <a:prstGeom prst="rect">
              <a:avLst/>
            </a:prstGeom>
          </xdr:spPr>
        </xdr:pic>
      </mc:Fallback>
    </mc:AlternateContent>
    <xdr:clientData/>
  </xdr:twoCellAnchor>
  <xdr:twoCellAnchor editAs="oneCell">
    <xdr:from>
      <xdr:col>5</xdr:col>
      <xdr:colOff>981197</xdr:colOff>
      <xdr:row>5</xdr:row>
      <xdr:rowOff>597637</xdr:rowOff>
    </xdr:from>
    <xdr:to>
      <xdr:col>38</xdr:col>
      <xdr:colOff>152400</xdr:colOff>
      <xdr:row>16</xdr:row>
      <xdr:rowOff>48984</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20" name="Ink 19">
              <a:extLst>
                <a:ext uri="{FF2B5EF4-FFF2-40B4-BE49-F238E27FC236}">
                  <a16:creationId xmlns:a16="http://schemas.microsoft.com/office/drawing/2014/main" id="{161D0B8F-4D78-773E-0AC0-10A466B5DA35}"/>
                </a:ext>
              </a:extLst>
            </xdr14:cNvPr>
            <xdr14:cNvContentPartPr/>
          </xdr14:nvContentPartPr>
          <xdr14:nvPr macro=""/>
          <xdr14:xfrm>
            <a:off x="6927518" y="2883637"/>
            <a:ext cx="15608632" cy="1968668"/>
          </xdr14:xfrm>
        </xdr:contentPart>
      </mc:Choice>
      <mc:Fallback xmlns="">
        <xdr:pic>
          <xdr:nvPicPr>
            <xdr:cNvPr id="20" name="Ink 19">
              <a:extLst>
                <a:ext uri="{FF2B5EF4-FFF2-40B4-BE49-F238E27FC236}">
                  <a16:creationId xmlns:a16="http://schemas.microsoft.com/office/drawing/2014/main" id="{161D0B8F-4D78-773E-0AC0-10A466B5DA35}"/>
                </a:ext>
              </a:extLst>
            </xdr:cNvPr>
            <xdr:cNvPicPr/>
          </xdr:nvPicPr>
          <xdr:blipFill>
            <a:blip xmlns:r="http://schemas.openxmlformats.org/officeDocument/2006/relationships" r:embed="rId19"/>
            <a:stretch>
              <a:fillRect/>
            </a:stretch>
          </xdr:blipFill>
          <xdr:spPr>
            <a:xfrm>
              <a:off x="6215601" y="3491640"/>
              <a:ext cx="13437412" cy="1738080"/>
            </a:xfrm>
            <a:prstGeom prst="rect">
              <a:avLst/>
            </a:prstGeom>
          </xdr:spPr>
        </xdr:pic>
      </mc:Fallback>
    </mc:AlternateContent>
    <xdr:clientData/>
  </xdr:twoCellAnchor>
  <xdr:twoCellAnchor editAs="oneCell">
    <xdr:from>
      <xdr:col>37</xdr:col>
      <xdr:colOff>904041</xdr:colOff>
      <xdr:row>20</xdr:row>
      <xdr:rowOff>108227</xdr:rowOff>
    </xdr:from>
    <xdr:to>
      <xdr:col>38</xdr:col>
      <xdr:colOff>13478</xdr:colOff>
      <xdr:row>22</xdr:row>
      <xdr:rowOff>282947</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22" name="Ink 21">
              <a:extLst>
                <a:ext uri="{FF2B5EF4-FFF2-40B4-BE49-F238E27FC236}">
                  <a16:creationId xmlns:a16="http://schemas.microsoft.com/office/drawing/2014/main" id="{F4AA264B-B102-74CD-F92F-976C4B440EFF}"/>
                </a:ext>
              </a:extLst>
            </xdr14:cNvPr>
            <xdr14:cNvContentPartPr/>
          </xdr14:nvContentPartPr>
          <xdr14:nvPr macro=""/>
          <xdr14:xfrm>
            <a:off x="19164827" y="6000120"/>
            <a:ext cx="334080" cy="936720"/>
          </xdr14:xfrm>
        </xdr:contentPart>
      </mc:Choice>
      <mc:Fallback xmlns="">
        <xdr:pic>
          <xdr:nvPicPr>
            <xdr:cNvPr id="22" name="Ink 21">
              <a:extLst>
                <a:ext uri="{FF2B5EF4-FFF2-40B4-BE49-F238E27FC236}">
                  <a16:creationId xmlns:a16="http://schemas.microsoft.com/office/drawing/2014/main" id="{F4AA264B-B102-74CD-F92F-976C4B440EFF}"/>
                </a:ext>
              </a:extLst>
            </xdr:cNvPr>
            <xdr:cNvPicPr/>
          </xdr:nvPicPr>
          <xdr:blipFill>
            <a:blip xmlns:r="http://schemas.openxmlformats.org/officeDocument/2006/relationships" r:embed="rId23"/>
            <a:stretch>
              <a:fillRect/>
            </a:stretch>
          </xdr:blipFill>
          <xdr:spPr>
            <a:xfrm>
              <a:off x="19160507" y="5995800"/>
              <a:ext cx="342720" cy="945360"/>
            </a:xfrm>
            <a:prstGeom prst="rect">
              <a:avLst/>
            </a:prstGeom>
          </xdr:spPr>
        </xdr:pic>
      </mc:Fallback>
    </mc:AlternateContent>
    <xdr:clientData/>
  </xdr:twoCellAnchor>
  <xdr:twoCellAnchor editAs="oneCell">
    <xdr:from>
      <xdr:col>5</xdr:col>
      <xdr:colOff>1473199</xdr:colOff>
      <xdr:row>16</xdr:row>
      <xdr:rowOff>0</xdr:rowOff>
    </xdr:from>
    <xdr:to>
      <xdr:col>37</xdr:col>
      <xdr:colOff>941900</xdr:colOff>
      <xdr:row>21</xdr:row>
      <xdr:rowOff>268337</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23" name="Ink 22">
              <a:extLst>
                <a:ext uri="{FF2B5EF4-FFF2-40B4-BE49-F238E27FC236}">
                  <a16:creationId xmlns:a16="http://schemas.microsoft.com/office/drawing/2014/main" id="{9B1F2405-993F-9D3F-8FC7-6FD62F50D590}"/>
                </a:ext>
              </a:extLst>
            </xdr14:cNvPr>
            <xdr14:cNvContentPartPr/>
          </xdr14:nvContentPartPr>
          <xdr14:nvPr macro=""/>
          <xdr14:xfrm>
            <a:off x="7442199" y="4864100"/>
            <a:ext cx="14556301" cy="1932037"/>
          </xdr14:xfrm>
        </xdr:contentPart>
      </mc:Choice>
      <mc:Fallback xmlns="">
        <xdr:pic>
          <xdr:nvPicPr>
            <xdr:cNvPr id="23" name="Ink 22">
              <a:extLst>
                <a:ext uri="{FF2B5EF4-FFF2-40B4-BE49-F238E27FC236}">
                  <a16:creationId xmlns:a16="http://schemas.microsoft.com/office/drawing/2014/main" id="{9B1F2405-993F-9D3F-8FC7-6FD62F50D590}"/>
                </a:ext>
              </a:extLst>
            </xdr:cNvPr>
            <xdr:cNvPicPr/>
          </xdr:nvPicPr>
          <xdr:blipFill>
            <a:blip xmlns:r="http://schemas.openxmlformats.org/officeDocument/2006/relationships" r:embed="rId25"/>
            <a:stretch>
              <a:fillRect/>
            </a:stretch>
          </xdr:blipFill>
          <xdr:spPr>
            <a:xfrm>
              <a:off x="6727877" y="4975200"/>
              <a:ext cx="12517259" cy="1589400"/>
            </a:xfrm>
            <a:prstGeom prst="rect">
              <a:avLst/>
            </a:prstGeom>
          </xdr:spPr>
        </xdr:pic>
      </mc:Fallback>
    </mc:AlternateContent>
    <xdr:clientData/>
  </xdr:twoCellAnchor>
  <xdr:twoCellAnchor editAs="oneCell">
    <xdr:from>
      <xdr:col>37</xdr:col>
      <xdr:colOff>1062441</xdr:colOff>
      <xdr:row>23</xdr:row>
      <xdr:rowOff>94907</xdr:rowOff>
    </xdr:from>
    <xdr:to>
      <xdr:col>37</xdr:col>
      <xdr:colOff>1211121</xdr:colOff>
      <xdr:row>25</xdr:row>
      <xdr:rowOff>150107</xdr:rowOff>
    </xdr:to>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24" name="Ink 23">
              <a:extLst>
                <a:ext uri="{FF2B5EF4-FFF2-40B4-BE49-F238E27FC236}">
                  <a16:creationId xmlns:a16="http://schemas.microsoft.com/office/drawing/2014/main" id="{D73F7A74-6ABE-59F0-1B01-34A5B8DF3923}"/>
                </a:ext>
              </a:extLst>
            </xdr14:cNvPr>
            <xdr14:cNvContentPartPr/>
          </xdr14:nvContentPartPr>
          <xdr14:nvPr macro=""/>
          <xdr14:xfrm>
            <a:off x="19323227" y="7129800"/>
            <a:ext cx="148680" cy="817200"/>
          </xdr14:xfrm>
        </xdr:contentPart>
      </mc:Choice>
      <mc:Fallback xmlns="">
        <xdr:pic>
          <xdr:nvPicPr>
            <xdr:cNvPr id="24" name="Ink 23">
              <a:extLst>
                <a:ext uri="{FF2B5EF4-FFF2-40B4-BE49-F238E27FC236}">
                  <a16:creationId xmlns:a16="http://schemas.microsoft.com/office/drawing/2014/main" id="{D73F7A74-6ABE-59F0-1B01-34A5B8DF3923}"/>
                </a:ext>
              </a:extLst>
            </xdr:cNvPr>
            <xdr:cNvPicPr/>
          </xdr:nvPicPr>
          <xdr:blipFill>
            <a:blip xmlns:r="http://schemas.openxmlformats.org/officeDocument/2006/relationships" r:embed="rId27"/>
            <a:stretch>
              <a:fillRect/>
            </a:stretch>
          </xdr:blipFill>
          <xdr:spPr>
            <a:xfrm>
              <a:off x="19318907" y="7125480"/>
              <a:ext cx="157320" cy="825840"/>
            </a:xfrm>
            <a:prstGeom prst="rect">
              <a:avLst/>
            </a:prstGeom>
          </xdr:spPr>
        </xdr:pic>
      </mc:Fallback>
    </mc:AlternateContent>
    <xdr:clientData/>
  </xdr:twoCellAnchor>
  <xdr:twoCellAnchor editAs="oneCell">
    <xdr:from>
      <xdr:col>28</xdr:col>
      <xdr:colOff>149383</xdr:colOff>
      <xdr:row>16</xdr:row>
      <xdr:rowOff>378887</xdr:rowOff>
    </xdr:from>
    <xdr:to>
      <xdr:col>37</xdr:col>
      <xdr:colOff>1088721</xdr:colOff>
      <xdr:row>23</xdr:row>
      <xdr:rowOff>177227</xdr:rowOff>
    </xdr:to>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26" name="Ink 25">
              <a:extLst>
                <a:ext uri="{FF2B5EF4-FFF2-40B4-BE49-F238E27FC236}">
                  <a16:creationId xmlns:a16="http://schemas.microsoft.com/office/drawing/2014/main" id="{88805FE5-CF6D-E8B9-EDC8-2B42C3877433}"/>
                </a:ext>
              </a:extLst>
            </xdr14:cNvPr>
            <xdr14:cNvContentPartPr/>
          </xdr14:nvContentPartPr>
          <xdr14:nvPr macro=""/>
          <xdr14:xfrm>
            <a:off x="14559347" y="5318280"/>
            <a:ext cx="4790160" cy="2274840"/>
          </xdr14:xfrm>
        </xdr:contentPart>
      </mc:Choice>
      <mc:Fallback xmlns="">
        <xdr:pic>
          <xdr:nvPicPr>
            <xdr:cNvPr id="26" name="Ink 25">
              <a:extLst>
                <a:ext uri="{FF2B5EF4-FFF2-40B4-BE49-F238E27FC236}">
                  <a16:creationId xmlns:a16="http://schemas.microsoft.com/office/drawing/2014/main" id="{88805FE5-CF6D-E8B9-EDC8-2B42C3877433}"/>
                </a:ext>
              </a:extLst>
            </xdr:cNvPr>
            <xdr:cNvPicPr/>
          </xdr:nvPicPr>
          <xdr:blipFill>
            <a:blip xmlns:r="http://schemas.openxmlformats.org/officeDocument/2006/relationships" r:embed="rId29"/>
            <a:stretch>
              <a:fillRect/>
            </a:stretch>
          </xdr:blipFill>
          <xdr:spPr>
            <a:xfrm>
              <a:off x="14554644" y="5313960"/>
              <a:ext cx="4798842" cy="2283480"/>
            </a:xfrm>
            <a:prstGeom prst="rect">
              <a:avLst/>
            </a:prstGeom>
          </xdr:spPr>
        </xdr:pic>
      </mc:Fallback>
    </mc:AlternateContent>
    <xdr:clientData/>
  </xdr:twoCellAnchor>
  <xdr:twoCellAnchor editAs="oneCell">
    <xdr:from>
      <xdr:col>37</xdr:col>
      <xdr:colOff>963441</xdr:colOff>
      <xdr:row>28</xdr:row>
      <xdr:rowOff>54270</xdr:rowOff>
    </xdr:from>
    <xdr:to>
      <xdr:col>38</xdr:col>
      <xdr:colOff>33998</xdr:colOff>
      <xdr:row>38</xdr:row>
      <xdr:rowOff>177750</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27" name="Ink 26">
              <a:extLst>
                <a:ext uri="{FF2B5EF4-FFF2-40B4-BE49-F238E27FC236}">
                  <a16:creationId xmlns:a16="http://schemas.microsoft.com/office/drawing/2014/main" id="{B946B22D-15EB-5BE3-8761-6CDD18A8602B}"/>
                </a:ext>
              </a:extLst>
            </xdr14:cNvPr>
            <xdr14:cNvContentPartPr/>
          </xdr14:nvContentPartPr>
          <xdr14:nvPr macro=""/>
          <xdr14:xfrm>
            <a:off x="19224227" y="8613163"/>
            <a:ext cx="295200" cy="2409480"/>
          </xdr14:xfrm>
        </xdr:contentPart>
      </mc:Choice>
      <mc:Fallback xmlns="">
        <xdr:pic>
          <xdr:nvPicPr>
            <xdr:cNvPr id="27" name="Ink 26">
              <a:extLst>
                <a:ext uri="{FF2B5EF4-FFF2-40B4-BE49-F238E27FC236}">
                  <a16:creationId xmlns:a16="http://schemas.microsoft.com/office/drawing/2014/main" id="{B946B22D-15EB-5BE3-8761-6CDD18A8602B}"/>
                </a:ext>
              </a:extLst>
            </xdr:cNvPr>
            <xdr:cNvPicPr/>
          </xdr:nvPicPr>
          <xdr:blipFill>
            <a:blip xmlns:r="http://schemas.openxmlformats.org/officeDocument/2006/relationships" r:embed="rId31"/>
            <a:stretch>
              <a:fillRect/>
            </a:stretch>
          </xdr:blipFill>
          <xdr:spPr>
            <a:xfrm>
              <a:off x="19219907" y="8608843"/>
              <a:ext cx="303840" cy="2418120"/>
            </a:xfrm>
            <a:prstGeom prst="rect">
              <a:avLst/>
            </a:prstGeom>
          </xdr:spPr>
        </xdr:pic>
      </mc:Fallback>
    </mc:AlternateContent>
    <xdr:clientData/>
  </xdr:twoCellAnchor>
  <xdr:twoCellAnchor editAs="oneCell">
    <xdr:from>
      <xdr:col>5</xdr:col>
      <xdr:colOff>1676399</xdr:colOff>
      <xdr:row>17</xdr:row>
      <xdr:rowOff>203200</xdr:rowOff>
    </xdr:from>
    <xdr:to>
      <xdr:col>37</xdr:col>
      <xdr:colOff>966320</xdr:colOff>
      <xdr:row>32</xdr:row>
      <xdr:rowOff>299550</xdr:rowOff>
    </xdr:to>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28" name="Ink 27">
              <a:extLst>
                <a:ext uri="{FF2B5EF4-FFF2-40B4-BE49-F238E27FC236}">
                  <a16:creationId xmlns:a16="http://schemas.microsoft.com/office/drawing/2014/main" id="{6FB9D423-0CF1-A730-9263-DE3A0EF51E8A}"/>
                </a:ext>
              </a:extLst>
            </xdr14:cNvPr>
            <xdr14:cNvContentPartPr/>
          </xdr14:nvContentPartPr>
          <xdr14:nvPr macro=""/>
          <xdr14:xfrm>
            <a:off x="7645399" y="5740400"/>
            <a:ext cx="14377521" cy="4312750"/>
          </xdr14:xfrm>
        </xdr:contentPart>
      </mc:Choice>
      <mc:Fallback xmlns="">
        <xdr:pic>
          <xdr:nvPicPr>
            <xdr:cNvPr id="28" name="Ink 27">
              <a:extLst>
                <a:ext uri="{FF2B5EF4-FFF2-40B4-BE49-F238E27FC236}">
                  <a16:creationId xmlns:a16="http://schemas.microsoft.com/office/drawing/2014/main" id="{6FB9D423-0CF1-A730-9263-DE3A0EF51E8A}"/>
                </a:ext>
              </a:extLst>
            </xdr:cNvPr>
            <xdr:cNvPicPr/>
          </xdr:nvPicPr>
          <xdr:blipFill>
            <a:blip xmlns:r="http://schemas.openxmlformats.org/officeDocument/2006/relationships" r:embed="rId33"/>
            <a:stretch>
              <a:fillRect/>
            </a:stretch>
          </xdr:blipFill>
          <xdr:spPr>
            <a:xfrm>
              <a:off x="6732197" y="5579803"/>
              <a:ext cx="12499259" cy="4044960"/>
            </a:xfrm>
            <a:prstGeom prst="rect">
              <a:avLst/>
            </a:prstGeom>
          </xdr:spPr>
        </xdr:pic>
      </mc:Fallback>
    </mc:AlternateContent>
    <xdr:clientData/>
  </xdr:twoCellAnchor>
  <xdr:twoCellAnchor editAs="oneCell">
    <xdr:from>
      <xdr:col>5</xdr:col>
      <xdr:colOff>334637</xdr:colOff>
      <xdr:row>38</xdr:row>
      <xdr:rowOff>132591</xdr:rowOff>
    </xdr:from>
    <xdr:to>
      <xdr:col>38</xdr:col>
      <xdr:colOff>122558</xdr:colOff>
      <xdr:row>40</xdr:row>
      <xdr:rowOff>122631</xdr:rowOff>
    </xdr:to>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29" name="Ink 28">
              <a:extLst>
                <a:ext uri="{FF2B5EF4-FFF2-40B4-BE49-F238E27FC236}">
                  <a16:creationId xmlns:a16="http://schemas.microsoft.com/office/drawing/2014/main" id="{5459F95E-3F45-40EF-E9D8-63FC3D36DB8F}"/>
                </a:ext>
              </a:extLst>
            </xdr14:cNvPr>
            <xdr14:cNvContentPartPr/>
          </xdr14:nvContentPartPr>
          <xdr14:nvPr macro=""/>
          <xdr14:xfrm>
            <a:off x="5573387" y="10977484"/>
            <a:ext cx="14034600" cy="752040"/>
          </xdr14:xfrm>
        </xdr:contentPart>
      </mc:Choice>
      <mc:Fallback xmlns="">
        <xdr:pic>
          <xdr:nvPicPr>
            <xdr:cNvPr id="29" name="Ink 28">
              <a:extLst>
                <a:ext uri="{FF2B5EF4-FFF2-40B4-BE49-F238E27FC236}">
                  <a16:creationId xmlns:a16="http://schemas.microsoft.com/office/drawing/2014/main" id="{5459F95E-3F45-40EF-E9D8-63FC3D36DB8F}"/>
                </a:ext>
              </a:extLst>
            </xdr:cNvPr>
            <xdr:cNvPicPr/>
          </xdr:nvPicPr>
          <xdr:blipFill>
            <a:blip xmlns:r="http://schemas.openxmlformats.org/officeDocument/2006/relationships" r:embed="rId35"/>
            <a:stretch>
              <a:fillRect/>
            </a:stretch>
          </xdr:blipFill>
          <xdr:spPr>
            <a:xfrm>
              <a:off x="5569042" y="10973164"/>
              <a:ext cx="14043290" cy="760680"/>
            </a:xfrm>
            <a:prstGeom prst="rect">
              <a:avLst/>
            </a:prstGeom>
          </xdr:spPr>
        </xdr:pic>
      </mc:Fallback>
    </mc:AlternateContent>
    <xdr:clientData/>
  </xdr:twoCellAnchor>
  <xdr:twoCellAnchor editAs="oneCell">
    <xdr:from>
      <xdr:col>5</xdr:col>
      <xdr:colOff>866775</xdr:colOff>
      <xdr:row>17</xdr:row>
      <xdr:rowOff>177800</xdr:rowOff>
    </xdr:from>
    <xdr:to>
      <xdr:col>38</xdr:col>
      <xdr:colOff>88900</xdr:colOff>
      <xdr:row>22</xdr:row>
      <xdr:rowOff>194491</xdr:rowOff>
    </xdr:to>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30" name="Ink 29">
              <a:extLst>
                <a:ext uri="{FF2B5EF4-FFF2-40B4-BE49-F238E27FC236}">
                  <a16:creationId xmlns:a16="http://schemas.microsoft.com/office/drawing/2014/main" id="{1670E5B8-889E-4976-8986-85531081DE71}"/>
                </a:ext>
              </a:extLst>
            </xdr14:cNvPr>
            <xdr14:cNvContentPartPr/>
          </xdr14:nvContentPartPr>
          <xdr14:nvPr macro=""/>
          <xdr14:xfrm>
            <a:off x="6835775" y="5715000"/>
            <a:ext cx="15706725" cy="1680391"/>
          </xdr14:xfrm>
        </xdr:contentPart>
      </mc:Choice>
      <mc:Fallback xmlns="">
        <xdr:pic>
          <xdr:nvPicPr>
            <xdr:cNvPr id="21" name="Ink 20">
              <a:extLst>
                <a:ext uri="{FF2B5EF4-FFF2-40B4-BE49-F238E27FC236}">
                  <a16:creationId xmlns:a16="http://schemas.microsoft.com/office/drawing/2014/main" id="{0623AE7C-9860-4A4F-E8A8-62EF2F5F981C}"/>
                </a:ext>
              </a:extLst>
            </xdr:cNvPr>
            <xdr:cNvPicPr/>
          </xdr:nvPicPr>
          <xdr:blipFill>
            <a:blip xmlns:r="http://schemas.openxmlformats.org/officeDocument/2006/relationships" r:embed="rId21"/>
            <a:stretch>
              <a:fillRect/>
            </a:stretch>
          </xdr:blipFill>
          <xdr:spPr>
            <a:xfrm>
              <a:off x="13545572" y="5533560"/>
              <a:ext cx="6175831" cy="1580400"/>
            </a:xfrm>
            <a:prstGeom prst="rect">
              <a:avLst/>
            </a:prstGeom>
          </xdr:spPr>
        </xdr:pic>
      </mc:Fallback>
    </mc:AlternateContent>
    <xdr:clientData/>
  </xdr:twoCellAnchor>
  <xdr:twoCellAnchor>
    <xdr:from>
      <xdr:col>5</xdr:col>
      <xdr:colOff>685800</xdr:colOff>
      <xdr:row>12</xdr:row>
      <xdr:rowOff>152400</xdr:rowOff>
    </xdr:from>
    <xdr:to>
      <xdr:col>5</xdr:col>
      <xdr:colOff>1384300</xdr:colOff>
      <xdr:row>14</xdr:row>
      <xdr:rowOff>38100</xdr:rowOff>
    </xdr:to>
    <xdr:sp macro="" textlink="">
      <xdr:nvSpPr>
        <xdr:cNvPr id="10" name="TextBox 9">
          <a:extLst>
            <a:ext uri="{FF2B5EF4-FFF2-40B4-BE49-F238E27FC236}">
              <a16:creationId xmlns:a16="http://schemas.microsoft.com/office/drawing/2014/main" id="{AF7EB9A5-41C4-4541-BCF3-82B847017E53}"/>
            </a:ext>
          </a:extLst>
        </xdr:cNvPr>
        <xdr:cNvSpPr txBox="1"/>
      </xdr:nvSpPr>
      <xdr:spPr>
        <a:xfrm>
          <a:off x="6654800" y="42545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DCA1</a:t>
          </a:r>
          <a:endParaRPr lang="he-IL" sz="1200" b="1">
            <a:solidFill>
              <a:schemeClr val="accent1">
                <a:lumMod val="75000"/>
              </a:schemeClr>
            </a:solidFill>
          </a:endParaRPr>
        </a:p>
      </xdr:txBody>
    </xdr:sp>
    <xdr:clientData/>
  </xdr:twoCellAnchor>
  <xdr:twoCellAnchor>
    <xdr:from>
      <xdr:col>5</xdr:col>
      <xdr:colOff>787400</xdr:colOff>
      <xdr:row>18</xdr:row>
      <xdr:rowOff>76200</xdr:rowOff>
    </xdr:from>
    <xdr:to>
      <xdr:col>5</xdr:col>
      <xdr:colOff>1485900</xdr:colOff>
      <xdr:row>18</xdr:row>
      <xdr:rowOff>317500</xdr:rowOff>
    </xdr:to>
    <xdr:sp macro="" textlink="">
      <xdr:nvSpPr>
        <xdr:cNvPr id="34" name="TextBox 33">
          <a:extLst>
            <a:ext uri="{FF2B5EF4-FFF2-40B4-BE49-F238E27FC236}">
              <a16:creationId xmlns:a16="http://schemas.microsoft.com/office/drawing/2014/main" id="{11B4E162-6A1B-4D55-A07C-B500A6C9F9A4}"/>
            </a:ext>
          </a:extLst>
        </xdr:cNvPr>
        <xdr:cNvSpPr txBox="1"/>
      </xdr:nvSpPr>
      <xdr:spPr>
        <a:xfrm>
          <a:off x="6756400" y="56261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DCA2</a:t>
          </a:r>
          <a:endParaRPr lang="he-IL" sz="1200" b="1">
            <a:solidFill>
              <a:schemeClr val="accent1">
                <a:lumMod val="75000"/>
              </a:schemeClr>
            </a:solidFill>
          </a:endParaRPr>
        </a:p>
      </xdr:txBody>
    </xdr:sp>
    <xdr:clientData/>
  </xdr:twoCellAnchor>
  <xdr:twoCellAnchor>
    <xdr:from>
      <xdr:col>24</xdr:col>
      <xdr:colOff>177800</xdr:colOff>
      <xdr:row>17</xdr:row>
      <xdr:rowOff>190500</xdr:rowOff>
    </xdr:from>
    <xdr:to>
      <xdr:col>26</xdr:col>
      <xdr:colOff>139700</xdr:colOff>
      <xdr:row>18</xdr:row>
      <xdr:rowOff>63500</xdr:rowOff>
    </xdr:to>
    <xdr:sp macro="" textlink="">
      <xdr:nvSpPr>
        <xdr:cNvPr id="35" name="TextBox 34">
          <a:extLst>
            <a:ext uri="{FF2B5EF4-FFF2-40B4-BE49-F238E27FC236}">
              <a16:creationId xmlns:a16="http://schemas.microsoft.com/office/drawing/2014/main" id="{09421045-6DEF-478A-81E1-376C3E26B264}"/>
            </a:ext>
          </a:extLst>
        </xdr:cNvPr>
        <xdr:cNvSpPr txBox="1"/>
      </xdr:nvSpPr>
      <xdr:spPr>
        <a:xfrm>
          <a:off x="15341600" y="53721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DCA3</a:t>
          </a:r>
          <a:endParaRPr lang="he-IL" sz="1200" b="1">
            <a:solidFill>
              <a:schemeClr val="accent1">
                <a:lumMod val="75000"/>
              </a:schemeClr>
            </a:solidFill>
          </a:endParaRPr>
        </a:p>
      </xdr:txBody>
    </xdr:sp>
    <xdr:clientData/>
  </xdr:twoCellAnchor>
  <xdr:twoCellAnchor editAs="oneCell">
    <xdr:from>
      <xdr:col>25</xdr:col>
      <xdr:colOff>292417</xdr:colOff>
      <xdr:row>18</xdr:row>
      <xdr:rowOff>45411</xdr:rowOff>
    </xdr:from>
    <xdr:to>
      <xdr:col>38</xdr:col>
      <xdr:colOff>449389</xdr:colOff>
      <xdr:row>22</xdr:row>
      <xdr:rowOff>223383</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21" name="Ink 20">
              <a:extLst>
                <a:ext uri="{FF2B5EF4-FFF2-40B4-BE49-F238E27FC236}">
                  <a16:creationId xmlns:a16="http://schemas.microsoft.com/office/drawing/2014/main" id="{0623AE7C-9860-4A4F-E8A8-62EF2F5F981C}"/>
                </a:ext>
              </a:extLst>
            </xdr14:cNvPr>
            <xdr14:cNvContentPartPr/>
          </xdr14:nvContentPartPr>
          <xdr14:nvPr macro=""/>
          <xdr14:xfrm rot="245170">
            <a:off x="15777346" y="5583518"/>
            <a:ext cx="7055793" cy="1470651"/>
          </xdr14:xfrm>
        </xdr:contentPart>
      </mc:Choice>
      <mc:Fallback xmlns="">
        <xdr:pic>
          <xdr:nvPicPr>
            <xdr:cNvPr id="21" name="Ink 20">
              <a:extLst>
                <a:ext uri="{FF2B5EF4-FFF2-40B4-BE49-F238E27FC236}">
                  <a16:creationId xmlns:a16="http://schemas.microsoft.com/office/drawing/2014/main" id="{0623AE7C-9860-4A4F-E8A8-62EF2F5F981C}"/>
                </a:ext>
              </a:extLst>
            </xdr:cNvPr>
            <xdr:cNvPicPr/>
          </xdr:nvPicPr>
          <xdr:blipFill>
            <a:blip xmlns:r="http://schemas.openxmlformats.org/officeDocument/2006/relationships" r:embed="rId21"/>
            <a:stretch>
              <a:fillRect/>
            </a:stretch>
          </xdr:blipFill>
          <xdr:spPr>
            <a:xfrm>
              <a:off x="13545572" y="5533560"/>
              <a:ext cx="6175831" cy="1580400"/>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15369</xdr:colOff>
      <xdr:row>68</xdr:row>
      <xdr:rowOff>123266</xdr:rowOff>
    </xdr:from>
    <xdr:to>
      <xdr:col>17</xdr:col>
      <xdr:colOff>272800</xdr:colOff>
      <xdr:row>76</xdr:row>
      <xdr:rowOff>46321</xdr:rowOff>
    </xdr:to>
    <xdr:pic>
      <xdr:nvPicPr>
        <xdr:cNvPr id="2" name="Picture 1">
          <a:extLst>
            <a:ext uri="{FF2B5EF4-FFF2-40B4-BE49-F238E27FC236}">
              <a16:creationId xmlns:a16="http://schemas.microsoft.com/office/drawing/2014/main" id="{D72617E1-65F2-4AF1-A57F-AE93B2607807}"/>
            </a:ext>
          </a:extLst>
        </xdr:cNvPr>
        <xdr:cNvPicPr>
          <a:picLocks noChangeAspect="1"/>
        </xdr:cNvPicPr>
      </xdr:nvPicPr>
      <xdr:blipFill>
        <a:blip xmlns:r="http://schemas.openxmlformats.org/officeDocument/2006/relationships" r:embed="rId1"/>
        <a:stretch>
          <a:fillRect/>
        </a:stretch>
      </xdr:blipFill>
      <xdr:spPr>
        <a:xfrm>
          <a:off x="17808069" y="14325041"/>
          <a:ext cx="6801106" cy="1447055"/>
        </a:xfrm>
        <a:prstGeom prst="rect">
          <a:avLst/>
        </a:prstGeom>
      </xdr:spPr>
    </xdr:pic>
    <xdr:clientData/>
  </xdr:twoCellAnchor>
  <xdr:twoCellAnchor editAs="oneCell">
    <xdr:from>
      <xdr:col>5</xdr:col>
      <xdr:colOff>1401536</xdr:colOff>
      <xdr:row>2</xdr:row>
      <xdr:rowOff>272143</xdr:rowOff>
    </xdr:from>
    <xdr:to>
      <xdr:col>5</xdr:col>
      <xdr:colOff>10259786</xdr:colOff>
      <xdr:row>48</xdr:row>
      <xdr:rowOff>13738</xdr:rowOff>
    </xdr:to>
    <xdr:pic>
      <xdr:nvPicPr>
        <xdr:cNvPr id="4" name="Picture 3">
          <a:extLst>
            <a:ext uri="{FF2B5EF4-FFF2-40B4-BE49-F238E27FC236}">
              <a16:creationId xmlns:a16="http://schemas.microsoft.com/office/drawing/2014/main" id="{6A40A185-C93A-7776-BB5C-E1057142114E}"/>
            </a:ext>
          </a:extLst>
        </xdr:cNvPr>
        <xdr:cNvPicPr>
          <a:picLocks noChangeAspect="1"/>
        </xdr:cNvPicPr>
      </xdr:nvPicPr>
      <xdr:blipFill>
        <a:blip xmlns:r="http://schemas.openxmlformats.org/officeDocument/2006/relationships" r:embed="rId2"/>
        <a:stretch>
          <a:fillRect/>
        </a:stretch>
      </xdr:blipFill>
      <xdr:spPr>
        <a:xfrm>
          <a:off x="6640286" y="653143"/>
          <a:ext cx="8858250" cy="974284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15369</xdr:colOff>
      <xdr:row>67</xdr:row>
      <xdr:rowOff>123266</xdr:rowOff>
    </xdr:from>
    <xdr:to>
      <xdr:col>8</xdr:col>
      <xdr:colOff>2626835</xdr:colOff>
      <xdr:row>75</xdr:row>
      <xdr:rowOff>46321</xdr:rowOff>
    </xdr:to>
    <xdr:pic>
      <xdr:nvPicPr>
        <xdr:cNvPr id="2" name="Picture 1">
          <a:extLst>
            <a:ext uri="{FF2B5EF4-FFF2-40B4-BE49-F238E27FC236}">
              <a16:creationId xmlns:a16="http://schemas.microsoft.com/office/drawing/2014/main" id="{F1EF5147-DA0E-49C5-97E9-AD603C8CCD99}"/>
            </a:ext>
          </a:extLst>
        </xdr:cNvPr>
        <xdr:cNvPicPr>
          <a:picLocks noChangeAspect="1"/>
        </xdr:cNvPicPr>
      </xdr:nvPicPr>
      <xdr:blipFill>
        <a:blip xmlns:r="http://schemas.openxmlformats.org/officeDocument/2006/relationships" r:embed="rId1"/>
        <a:stretch>
          <a:fillRect/>
        </a:stretch>
      </xdr:blipFill>
      <xdr:spPr>
        <a:xfrm>
          <a:off x="25428069" y="13734491"/>
          <a:ext cx="7629781" cy="1370855"/>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7:55.472"/>
    </inkml:context>
    <inkml:brush xml:id="br0">
      <inkml:brushProperty name="width" value="0.035" units="cm"/>
      <inkml:brushProperty name="height" value="0.035" units="cm"/>
    </inkml:brush>
  </inkml:definitions>
  <inkml:trace contextRef="#ctx0" brushRef="#br0">5 0 22269,'491'8769'0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7:59.282"/>
    </inkml:context>
    <inkml:brush xml:id="br0">
      <inkml:brushProperty name="width" value="0.035" units="cm"/>
      <inkml:brushProperty name="height" value="0.035" units="cm"/>
    </inkml:brush>
  </inkml:definitions>
  <inkml:trace contextRef="#ctx0" brushRef="#br0">354 509 24575,'320'0'0,"-909"0"0,588 0 0,-8 0 0,-1 0 0,1-1 0,0 0 0,-17-4 0,25 5 0,0 0 0,0-1 0,0 1 0,0 0 0,0-1 0,0 1 0,0-1 0,0 1 0,0-1 0,0 0 0,1 1 0,-1-2 0,0 2 0,0 0 0,0 0 0,1-1 0,-1 0 0,0 0 0,1-1 0,-1 1 0,1 1 0,-1-1 0,1 0 0,0-1 0,-1 1 0,1 1 0,0-1 0,0 1 0,-1-1 0,1-2 0,0 3 0,0-1 0,0 0 0,1-1 0,-1 1 0,0 0 0,0 1 0,0-1 0,1-1 0,-1 2 0,1-1 0,-1 0 0,1 1 0,-1-1 0,1-1 0,-1 1 0,1 0 0,0 0 0,0 1 0,-1 0 0,2-3 0,275-380 0,-224 307 0,-67 109 0,-23 41 0,-4 5 0,20-30 0,-45 107 0,58-132 0,1 0 0,1 0 0,1 1 0,-3 37 0,8-59 0,-1 0 0,1-1 0,0 0 0,0 0 0,0 1 0,1 0 0,-1-1 0,1 1 0,-1-2 0,1 2 0,0-1 0,0 1 0,0-1 0,0 1 0,0-2 0,1 1 0,-1 1 0,1-2 0,-1 3 0,1-3 0,0-1 0,0 3 0,0-1 0,0 0 0,0-1 0,0 1 0,0-1 0,1 0 0,-1 0 0,1-1 0,-1 1 0,0 0 0,1 0 0,0 0 0,-1-1 0,1 1 0,-1-1 0,4 0 0,11 0 0,0-1 0,0 0 0,0-2 0,-1 1 0,18-6 0,2 0 0,92-6-1365,-94 12-5461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09.606"/>
    </inkml:context>
    <inkml:brush xml:id="br0">
      <inkml:brushProperty name="width" value="0.035" units="cm"/>
      <inkml:brushProperty name="height" value="0.035" units="cm"/>
    </inkml:brush>
  </inkml:definitions>
  <inkml:trace contextRef="#ctx0" brushRef="#br0">23170 1 24575,'-7'43'0,"-20"1"0,-7-1 0,-147 76 0,-371 123 0,486-213 0,-1751 592 0,263-100 0,-2037 998 0,2770-1131 0,-611 338 0,-1233 662 0,2397-1281 0,-35-2 0,-478 119 0,-194 66 0,855-242 0,19 1 0,-75 62 0,-72 36 0,-902 353 0,975-427 0,-229 155 0,0 2 0,156-130 0,-674 297 0,149-79 0,141-67 0,430-154 0,67-32 0,-248 82 0,369-144 0,7 2 0,-13-1 0,7 0 0,-1-1 0,-6 1 0,0 0 0,0 0 0,0-1 0,0 0 0,-7 1 0,0-1 0,7 0 0,-41 2 0,48-4 0,-1-1 0,1 1 0,-1-1 0,1 0 0,-1 1 0,-6-1 0,6 0 0,1 0 0,-1 0 0,1-1 0,-1 1 0,1 0 0,1-1 0,-2 0 0,1 1 0,-1-1 0,1 0 0,-1 0 0,1 0 0,-1 1 0,7-1 0,-6 0 0,-1-1 0,8 1 0,-8-1 0,7 1 0,-6-1 0,6 0 0,0 1 0,1-1 0,-15-2 0,-39-9 0,12-1 0,2 1 0,-1 0 0,13-1 0,-6 0 0,13 0 0,-27-22 0,20 15 0,-6 2 0,-108-39 0,94 40 0,41 13 0,-7-1 0,6 0 0,-6 1 0,0-1 0,-1 0 0,-6 2 0,7-1 0,-6-1 0,-8 2 0,7-1 0,-6 1 0,6 0 0,-68-6 0,89 9 0,-8 1 0,7 0 0,1 0 0,-1 0 0,0 0 0,0 0 0,1 0 0,-8 0 0,7 0 0,1 0 0,-1 1 0,0-1 0,0 0 0,2 1 0,-2-1 0,0 1 0,0-1 0,1 1 0,-1 0 0,0-1 0,0 1 0,1 0 0,-1 0 0,7 0 0,-7-1 0,0 1 0,1 0 0,6-1 0,-7 1 0,7 0 0,-7 0 0,7 0 0,-7 0 0,7 1 0,0-1 0,-6 0 0,6 0 0,0 0 0,0 0 0,0 3 0,-54 47 0,54-49 0,-7 7 0,7-1 0,0 1 0,0-1 0,7 0 0,-1 1 0,8-1 0,-1 0 0,1 0 0,6 1 0,0-3 0,7 3 0,0-2 0,-1 1 0,55 9 0,-47-11 0,0 0 0,6-1 0,1 0 0,-1 0 0,1 0 0,5-1 0,1-1 0,0 1 0,1 0 0,-1 0 0,7-2 0,-7 0 0,6 1 0,1-1 0,0-1 0,81 2 0,-22-2-76,-5 0 1,7-2-1,-1 0 0,-6-1 0,6-1 0,-7 0 0,1 0 0,0-2 1,-1 0-1,-6-1 0,7 0 0,-13-2 0,5 1 0,-6-2 1,1 1-1,-9-1 0,103-13 0,-40 3-6750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13.076"/>
    </inkml:context>
    <inkml:brush xml:id="br0">
      <inkml:brushProperty name="width" value="0.035" units="cm"/>
      <inkml:brushProperty name="height" value="0.035" units="cm"/>
    </inkml:brush>
  </inkml:definitions>
  <inkml:trace contextRef="#ctx0" brushRef="#br0">553 1 24575,'1'470'0,"-2"510"0,-7-401-1,-7-5 9,-1 20-132,-21 789-463,10-475 587,1-250 150,-7-6 150,-10 241-46,15-352-254,8-154 0,-30 542 0,47-875 0,-1 0 0,0-4 0,-1 2 0,-12 91 0,-28 164 0,41-282 0,0 1 0,0-3 0,-2 0 0,2-2 0,-1-1 0,0-1 0,0-1 0,-1-2 0,-4 12 0,3-19 0,0-1 0,0-3 0,0-2 0,-1 0 0,3-3 0,-10-7 0,-2 4 0,11 0 0,0 2 0,1 1 0,-5 4 0,9-4 0,0 1 0,0 0 0,0 0 0,0 0 0,-1 0 0,2 1 0,-1-1 0,0 2 0,1 0 0,-1-1 0,0 1 0,0 0 0,1 0 0,-1 0 0,0 2 0,0-2 0,0 9 0,0-9 0,1 1 0,0 0 0,0-1 0,0 0 0,-1 1 0,1-1 0,0 2 0,0-2 0,0 1 0,0 0 0,0 0 0,0-1 0,0 2 0,0-2 0,1 0 0,-1 2 0,0-2 0,0 0 0,0 2 0,0-2 0,1 0 0,-1 0 0,1 0 0,-1 0 0,1 4 0,0 5 0,1-2 0,0 0 0,-1 1 0,0-1 0,4 10 0,-3-12 0,8 30 0,-9-36 0,0 0 0,-1-1 0,1 1 0,0-1 0,-1 0 0,1 1 0,0-1 0,-1-1 0,0 1 0,1-1 0,1 0 0,-2 0 0,2 0 0,-2-1 0,1 0 0,-1 1 0,0-2 0,0 1 0,1 0 0,-1 0 0,0 0 0,0 0 0,0 0 0,0 0 0,1 0 0,-1 0 0,0-1 0,0 1 0,0-1 0,0 1 0,1 0 0,-1-1 0,0 1 0,0 0 0,0-2 0,0 3 0,0-2 0,0 1 0,0-1 0,0 1 0,0-1 0,0 0 0,0 0 0,0 1 0,0-3 0,-2-56 0,2 57 0,-7-104 0,6 86 0,-1 0 0,1 0 0,-1-3 0,2 3 0,-1-2 0,0 0 0,0 0 0,1-31 0,0 50 7,0-2-1,0 1 0,0-1 0,1 2 1,-1-2-1,0 2 0,1-1 1,-1 0-1,1 1 0,-1-1 1,0 1-1,1-1 0,0 2 0,-1-1 1,1-1-1,-1 2 0,1 0 1,1-6-1,1 0-303,-1 0 0,0 2 0,1-1 0,4-7 0,-1 1-6529</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19.964"/>
    </inkml:context>
    <inkml:brush xml:id="br0">
      <inkml:brushProperty name="width" value="0.035" units="cm"/>
      <inkml:brushProperty name="height" value="0.035" units="cm"/>
    </inkml:brush>
  </inkml:definitions>
  <inkml:trace contextRef="#ctx0" brushRef="#br0">36 1 24575,'-4'5'0,"1"-1"0,-2 2 0,2-1 0,2 0 0,-2 1 0,0-1 0,1 0 0,1 1 0,-1 0 0,1-1 0,1 1 0,-2 1 0,2-2 0,0 10 0,-1 4 0,-2 21 0,1-1 0,4 1 0,-1-1 0,4 1 0,1-1 0,1 1 0,4-3 0,-1 2 0,5-2 0,0 0 0,0-1 0,38 56 0,-14-33 0,3 0 0,3-3 0,2 0 0,2-3 0,4-3 0,3-1 0,-1-2 0,5-4 0,88 52 0,-25-28 0,3-4 0,268 92 0,297 28 0,82-55-361,9-43-60,-244-29 515,1822 269-94,-739-89-223,-187-6-964,-209-28 1177,-937-163-248,282 47 15,-445-61 556,-2 6 1,185 69-1,690 289 1356,-87-9-1669,-661-237 0,-86-44 0,487 248 0,-525-284 0,-67-36 0,-2 3 0,78 54 0,98 60 0,-159-103 0,126 94 0,-185-120 0,0 0 0,-2 1 0,25 31 0,-23-26 0,31 33 0,190 170 0,-215-203 0,-1 1 0,0 2 0,-2-1 0,-2 1 0,1 1 0,13 34 0,-11-20 0,1-1 0,43 58 0,44 77 0,-86-138 0,-14-18 0,1-1 0,-1 1 0,4 18 0,-7-21 0,1 1 0,1-1 0,-2-1 0,4 1 0,11 20 0,22 25 0,-3 1 0,41 93 0,-64-114 0,17 62 0,-8-24 0,-12-34 0,-3-1 0,6 70 0,-4-33 0,7 111 0,-14 281 0,-7-248 0,3 386 0,-1-580 0,-2 3 0,-11 41 0,8-46 0,1 1 0,1 0 0,1 29 0,3-55 0,0 0 0,0 1 0,0-1 0,0 1 0,1-1 0,-1 1 0,0-1 0,2 0 0,-2-1 0,1 1 0,-1 1 0,3-1 0,-3 0 0,2 0 0,-1 0 0,1 0 0,0 0 0,2 2 0,-2-3 0,-1-1 0,1 1 0,-1-1 0,1 1 0,-1-1 0,1 1 0,-1-1 0,1 0 0,1 0 0,-3 0 0,3 0 0,-2 0 0,1 0 0,-1 0 0,1-1 0,-1 1 0,1-1 0,-1 1 0,1-1 0,-1 1 0,1-1 0,-1 0 0,1 0 0,-1 0 0,1 0 0,-1 0 0,-1 0 0,3 0 0,-1-1 0,20-18 0,-1-3 0,0 1 0,-1-1 0,-2-2 0,18-31 0,9-11 0,-30 46 0,3-6 0,2 2 0,37-39 0,-57 65 0,0 0 0,0-1 0,0 1 0,0-1 0,0 0 0,0 0 0,0 1 0,0-1 0,0 1 0,0-1 0,0 1 0,0-1 0,0 1 0,0-1 0,0 1 0,1-1 0,-1 1 0,0-1 0,0 1 0,0-1 0,0 1 0,0-1 0,0 0 0,2 0 0,-2 0 0,1 1 0,-1-1 0,0 1 0,0-1 0,0 0 0,2 0 0,-2 1 0,1-1 0,-1 0 0,0 0 0,0 1 0,2-1 0,-2 0 0,1 0 0,-1 0 0,0 0 0,0 0 0,2 0 0,-2 0 0,1 0 0,-1 0 0,0 0 0,2 0 0,-2 0 0,1 0 0,-1-1 0,0 1 0,0 0 0,2 0 0,-2 0 0,1-1 0,-1 1 0,0 0 0,0-1 0,0 1 0,2 0 0,-2-1 0,0 1 0,1 0 0,-1 0 0,0 0 0,0-1 0,0 1 0,0-1 0,-3 40 0,-6-18 0,-1-2 0,-1 1 0,-1-1 0,-1-1 0,1 0 0,-3-1 0,0 0 0,-2 0 0,-21 16 0,8-9 0,0-3 0,-1 1 0,-1-2 0,-69 29 0,88-43 0,1-1 0,-2 0 0,1-1 0,-2 0 0,1-2 0,-1 0 0,2 0 0,-20 0 0,25-2 0,1-1 0,-1 0 0,1 0 0,-1-1 0,1 1 0,-1-1 0,2 0 0,-1-1 0,-1 0 0,2 0 0,0-1 0,0 1 0,0-1 0,-2 0 0,2-1 0,2 1 0,-10-10 0,-28-37 0,3-1 0,-42-74 0,24 34 0,27 48-1365,4 7-5461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30T09:51:40.506"/>
    </inkml:context>
    <inkml:brush xml:id="br0">
      <inkml:brushProperty name="width" value="0.035" units="cm"/>
      <inkml:brushProperty name="height" value="0.035" units="cm"/>
    </inkml:brush>
  </inkml:definitions>
  <inkml:trace contextRef="#ctx0" brushRef="#br0">6 0 22269,'9298'9071'0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3:47.887"/>
    </inkml:context>
    <inkml:brush xml:id="br0">
      <inkml:brushProperty name="width" value="0.025" units="cm"/>
      <inkml:brushProperty name="height" value="0.025" units="cm"/>
    </inkml:brush>
  </inkml:definitions>
  <inkml:trace contextRef="#ctx0" brushRef="#br0">49062 0 24475,'-49062'2315'0,"49323"-2226"0,-522-178 0,506-23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4:31.811"/>
    </inkml:context>
    <inkml:brush xml:id="br0">
      <inkml:brushProperty name="width" value="0.025" units="cm"/>
      <inkml:brushProperty name="height" value="0.025" units="cm"/>
    </inkml:brush>
  </inkml:definitions>
  <inkml:trace contextRef="#ctx0" brushRef="#br0">10368 0 24575,'-4'0'0,"2"1"0,0-1 0,0 0 0,-1 1 0,1 0 0,-1-1 0,0 1 0,1 0 0,0 0 0,-1 0 0,2 0 0,-6 3 0,-11 4 0,-95 36 0,-161 39 0,-125 14 0,352-87 0,-635 118 0,501-106 0,-333 5 0,-1638-34 0,1884 7 0,-312-1 0,203-33 0,147 9 0,-105-11 0,156 13 0,-185-2 0,270 25 0,59 1 0,0-1 0,0-1 0,0-1 0,0-1 0,-1-2 0,-63-16 0,50 8 0,-94-15 0,4 2 0,-29-8 0,-75-21 0,214 49 0,1-1 0,-1 3 0,-1-1 0,-50 0 0,-128 6 0,85 3 0,-1258-4 0,1368 0 0,2 0 0,-1 1 0,1 0 0,-1 0 0,2 1 0,-2 1 0,1-1 0,-1 1 0,2 1 0,-2 0 0,2-1 0,-19 12 0,23-10 0,-2 0 0,1 1 0,0 1 0,0-1 0,0 0 0,1 1 0,1 0 0,0 1 0,0-2 0,1 2 0,-1 0 0,2 1 0,-1-3 0,-3 18 0,6-17 0,0-2 0,0 1 0,0 1 0,1-2 0,0 2 0,0-2 0,1 1 0,-1 0 0,1 0 0,1 0 0,4 10 0,0-5 0,0-2 0,1-1 0,-1 2 0,2-1 0,14 12 0,-22-21 0,0 1 0,1-1 0,-1 0 0,0 0 0,2 1 0,-2-1 0,0 0 0,0 1 0,0-1 0,1 0 0,-1 0 0,0 1 0,0-1 0,0 0 0,0 1 0,0-1 0,0 1 0,1-1 0,-1 0 0,0 1 0,0-1 0,0 0 0,0 1 0,0-1 0,0 0 0,-1 1 0,1-1 0,0 0 0,0 0 0,0 0 0,0 1 0,0-1 0,0 0 0,-1 0 0,1 1 0,0 0 0,-19 3 0,-31-3 0,43-1 0,-39 0 0,24 1 0,-1-1 0,0-1 0,0-1 0,1 0 0,-28-6 0,45 7 0,0-1 0,0 0 0,0 0 0,0 0 0,0 0 0,0-1 0,1 0 0,-1 1 0,2-1 0,-2 1 0,2-1 0,-2-1 0,2 1 0,-1-1 0,2 0 0,-1 0 0,0 0 0,0 1 0,1-1 0,0 0 0,0-1 0,0 1 0,1-1 0,0 1 0,-1 0 0,1-10 0,-1-25 0,3-1 0,7-47 0,-3 273 0,-4-181 0,0 1 0,0-1 0,1 1 0,1-2 0,-1 1 0,0 0 0,2 0 0,-2 0 0,2 0 0,-1-1 0,2 0 0,-2 0 0,2 1 0,-1-1 0,1 0 0,1 0 0,-2-2 0,2 2 0,0-2 0,-2 1 0,2 0 0,8 2 0,13 5 0,2-1 0,0-1 0,44 7 0,-71-14 0,81 7 0,-68-7 0,1 0 0,0 1 0,-1 1 0,1 0 0,26 7 0,-42-10 0,0 0 0,0 0 0,2 0 0,-2 0 0,0 0 0,0 0 0,1 0 0,-1 0 0,0 0 0,0 0 0,0 0 0,1 1 0,-1-1 0,0 0 0,0 0 0,0 0 0,1 0 0,-1 0 0,0 0 0,0 1 0,0-1 0,0 0 0,1 0 0,-1 0 0,0 0 0,0 1 0,0-1 0,0 0 0,0 0 0,0 0 0,0 1 0,1-1 0,-1 0 0,0 0 0,0 0 0,0 1 0,0-1 0,0 0 0,0 0 0,0 1 0,0-1 0,0 0 0,0 0 0,0 0 0,0 1 0,-1-1 0,1 0 0,0 0 0,0 1 0,0-1 0,0 0 0,0 0 0,0 1 0,-19 4 0,-26-1 0,25-3 0,0 0 0,0-2 0,1 0 0,-1 1 0,2-3 0,-2 0 0,-29-8 0,43 9 0,1 0 0,-1-1 0,0 1 0,2 0 0,-2-1 0,1 0 0,1 0 0,-1 0 0,0-1 0,1 0 0,-1 0 0,2 1 0,-1-1 0,1 0 0,0-1 0,0 1 0,0-1 0,0 2 0,1-2 0,0-1 0,1 1 0,-2 0 0,2 1 0,0 0 0,1-2 0,0 1 0,-1-1 0,2-5 0,3-16 0,0 1 0,2 1 0,2-1 0,16-36 0,-10 27 0,12-53 0,-25 83 0,4-22 0,-2 20 0,-2 12 0,-4 159 0,5 62 0,-2-223 0,1 1 0,-1 0 0,2 0 0,-1-1 0,1 1 0,-1 0 0,2-1 0,-1 0 0,0 1 0,0-1 0,1 1 0,0-2 0,-1 1 0,2 0 0,-1 0 0,4 3 0,1-2 0,0 1 0,0-1 0,1 1 0,-2-1 0,3-1 0,14 6 0,46 4 0,-46-11 0,-69-9 0,0-1 0,1-1 0,0-3 0,-58-21 0,97 32 0,1-1 0,0 0 0,0 1 0,0-1 0,1 1 0,-1-1 0,1-1 0,-1 1 0,1-1 0,0 0 0,-1 2 0,2-2 0,-1 0 0,0-1 0,2 1 0,-2 0 0,2 0 0,-3-5 0,3 3 0,-1-1 0,2 1 0,0 0 0,0-1 0,2 2 0,-2-2 0,1 1 0,0-1 0,1 1 0,-1 1 0,2-1 0,1-6 0,15-27 0,-3-1 0,-2 0 0,-3-2 0,-1 1 0,4-57 0,-16 445 0,3-340 0,0 0 0,0 0 0,1-1 0,1 1 0,-1-1 0,8 14 0,-10-20 0,2 0 0,-1 1 0,-1-1 0,1-1 0,0 1 0,0 0 0,0 0 0,-1 0 0,1 0 0,1-1 0,-1 1 0,0 0 0,0 0 0,1-1 0,-1 1 0,1 0 0,-1-1 0,0 1 0,2-1 0,-2 1 0,2-1 0,-1-1 0,-1 1 0,2 0 0,-1-1 0,-1 1 0,1-1 0,1 0 0,-2 1 0,1-1 0,-1 0 0,1 0 0,0 0 0,-1 0 0,1 0 0,-1 0 0,0 0 0,0 0 0,2 0 0,-1-3 0,99-107 0,14-12 0,-85 95-1365,-4 2-5461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5:48.905"/>
    </inkml:context>
    <inkml:brush xml:id="br0">
      <inkml:brushProperty name="width" value="0.025" units="cm"/>
      <inkml:brushProperty name="height" value="0.025" units="cm"/>
    </inkml:brush>
  </inkml:definitions>
  <inkml:trace contextRef="#ctx0" brushRef="#br0">20261 0 24396,'-20260'4474'0,"20533"-4427"0,-546-94 0,481-104 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02.974"/>
    </inkml:context>
    <inkml:brush xml:id="br0">
      <inkml:brushProperty name="width" value="0.025" units="cm"/>
      <inkml:brushProperty name="height" value="0.025" units="cm"/>
    </inkml:brush>
  </inkml:definitions>
  <inkml:trace contextRef="#ctx0" brushRef="#br0">27904 753 24575,'-3'36'0,"0"-1"0,-3 1 0,-24 65 0,-60 100 0,53-125 0,-42 100 0,-65 129 0,89-206 0,-73 99 0,27-74 0,-9-5 0,-167 144 0,192-190 0,-4-3 0,-4-3 0,-4-3 0,-4-3 0,-153 72 0,58-45 0,-4-5 0,-380 114 0,-62-42 0,438-108 0,-361 71 0,389-83 0,-210 36 0,-255 57 0,281-54 0,30-7 0,53-11 0,110-24 0,-459 81 0,-53 12 0,-693 156 0,993-190 0,-53 9 0,-144 14 0,520-101 0,0 2 0,-63 24 0,-21 5 0,6-10 0,0-4 0,-235 28 0,-285-6 0,617-50 0,-1-2 0,1 0 0,0-2 0,-1-1 0,1-1 0,1-1 0,0-1 0,0-2 0,0-1 0,1 0 0,1-2 0,0-1 0,2 0 0,0-3 0,-35-18 0,13 2 0,-4 2 0,-1 3 0,-1 1 0,-111-34 0,-13 13 0,-317-49 0,401 77 0,-984-126-3,680 97-118,-1396-225-464,1680 253 550,-229-48 407,-392-114 0,44 7-372,335 87 0,-274-51 0,40 10 0,-783-245 0,1277 341 0,-23-5 0,3-4 0,-137-62 0,177 59 0,3-4 0,5 0 0,-91-76 0,55 41 0,-25-17 0,-9-1 0,10-6 0,-123-118 0,186 152 0,-7 3 0,-176-121 0,59 53 0,83 57 0,-176-98 0,199 137 0,-163-59 0,-20-8 0,196 78 0,1 3 0,-150-39 0,96 31 0,-76-29 0,85 26 0,-157-36 0,251 68 0,-1 0 0,2 0 0,0-2 0,1 0 0,0-1 0,1-1 0,-26-15 0,-9-12 0,-65-51 0,107 77 0,-19-13 0,-74-38 0,26 17 0,44 24 0,30 18 0,0-1 0,1 0 0,-1 0 0,1 0 0,0-1 0,0 0 0,1 0 0,-11-13 0,3-3 0,1-1 0,-10-24 0,-14-25 0,33 67 0,-1-2 0,0 1 0,0 0 0,0 0 0,-1 1 0,-1 0 0,1 0 0,0 0 0,-1 1 0,-1-1 0,1 1 0,-16-5 0,-5-1 0,1 1 0,-55-10 0,79 18 0,2 0 0,0 1 0,-1-1 0,0 1 0,0-1 0,0 1 0,0 0 0,1 0 0,-2 0 0,2 0 0,-2 0 0,2 0 0,-1 1 0,0-1 0,0 1 0,1-1 0,-2 1 0,2 0 0,-1 0 0,1 0 0,0 0 0,-1 0 0,1 0 0,-1 1 0,1-1 0,0 0 0,-1 1 0,2 0 0,-1-1 0,0 0 0,0 1 0,1-1 0,0 1 0,-1 0 0,1 0 0,0 0 0,0 0 0,0 0 0,1 0 0,-2 0 0,1 3 0,-1 10 0,-1 1 0,2-1 0,0 0 0,5 26 0,-3-20 0,4 14 0,1 1 0,3 1 0,2-1 0,24 47 0,-21-63 0,-14-20 0,2 0 0,-2 0 0,1-1 0,-1 1 0,0 0 0,1 0 0,-1 0 0,0 0 0,0-1 0,1 1 0,-1 0 0,0 0 0,0-1 0,1 1 0,-1 0 0,0 0 0,0-1 0,2 1 0,-2 0 0,0-1 0,0 1 0,0 0 0,0-1 0,0 1 0,0 0 0,0 0 0,0 0 0,0 0 0,0-1 0,0 1 0,0 0 0,0-1 0,0 1 0,-2-46 0,-10-5 0,3 18 0,0 1 0,5-1 0,-1 0 0,4 0 0,4-43 0,-2 72 0,1 0 0,-1 0 0,0 0 0,1 1 0,0-1 0,0 0 0,0 0 0,2 1 0,-2-1 0,2 1 0,-2-1 0,2 1 0,0 1 0,0-1 0,0 0 0,8-4 0,-4 3 0,1 0 0,-1 0 0,2 1 0,0 1 0,-2 0 0,2 0 0,-1 0 0,19-2 0,-5 2 0,-1 1 0,0 0 0,1 2 0,0 0 0,-1 1 0,1 0 0,38 9 0,-48-9 20,-1 2 0,0-1 0,0 2 0,0-1 0,13 6 0,-21-8-98,0 0 0,-1 1 0,0-1-1,0 0 1,0 1 0,0-1 0,0 1 0,-1 0 0,1 0-1,-1 0 1,0-1 0,0 1 0,0 0 0,-1 0 0,0 0-1,1 0 1,-1 1 0,0 4 0,-1 16-6748</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46.033"/>
    </inkml:context>
    <inkml:brush xml:id="br0">
      <inkml:brushProperty name="width" value="0.025" units="cm"/>
      <inkml:brushProperty name="height" value="0.025" units="cm"/>
    </inkml:brush>
  </inkml:definitions>
  <inkml:trace contextRef="#ctx0" brushRef="#br0">43357 5469 24575,'-81'-155'0,"-125"-184"0,152 263 0,-2 4 0,-4 3 0,-2 1 0,-93-74 0,-18 7 0,-7 11 0,-4 5 0,-288-136 0,-637-214 0,-652-82 0,922 378-706,-5 38-256,143 26 192,-615-117-1197,-622-102 1801,-3 45-36,1570 235 31,-1019-136-548,12-61 342,279 22 794,-247-57 693,181 36 3299,1031 215-4357,-250-19 0,-222-21-52,-60 13 0,-3 52 0,-216-7 0,130-48 0,453 19 0,-106-10 0,-697 12 0,981 36 0,-2070-8 0,1275 12 0,-3637-2 0,4236 25 0,151-9 0,-260 52 0,184-23 0,186-34 0,1 2 0,2 3 0,-64 27 0,-152 83 0,183-84 0,-17 6 0,-203 60 0,-122 0 0,350-89 0,-107 25 0,-1-9 0,-3-8 0,-313 6 0,-2751-42 0,2665 39 0,497-17 0,0 2 0,1 7 0,3 2 0,-114 46 0,-327 187 0,20 32 0,430-242 0,1 0 0,0 5 0,4 4 0,-112 103 0,163-130 0,2 0 0,0 4 0,2-1 0,3-1 0,0 4 0,-24 64 0,18-44 0,8-16 0,2-5 0,-3-2 0,-30 51 0,-203 305 0,235-359 0,-1-2 0,3 3 0,2-1 0,0 2 0,-7 35 0,-7 94 0,22-131 0,0 0 0,-1 1 0,-2-2 0,-1 2 0,-2-4 0,0 2 0,-2-1 0,-15 28 0,-10 14 0,35-65 0,-1 0 0,1-1 0,0 1 0,0 0 0,0 0 0,1 0 0,-1-1 0,1 1 0,0 1 0,0-2 0,1 1 0,-1 0 0,1-1 0,-1 2 0,1-1 0,3 5 0,-3-8 0,0 0 0,0 0 0,0 0 0,1 1 0,-2-1 0,1 0 0,1 0 0,-1 1 0,0-2 0,1 1 0,-1 0 0,0-1 0,1 1 0,-1-1 0,1 1 0,-1-1 0,1 0 0,-1 0 0,0 0 0,2 0 0,-2 0 0,0 0 0,2 0 0,-2 0 0,0 0 0,1 0 0,-1 0 0,1 0 0,-1 0 0,1-1 0,-1 1 0,0-1 0,1 1 0,0-1 0,-1 0 0,0 1 0,0-2 0,1 1 0,0-1 0,53-41 0,-55 43 0,122-106 0,-122 106 0,1 0 0,-1-1 0,2 1 0,-2 0 0,1-1 0,-1 1 0,1-1 0,-1 1 0,1-2 0,-1 2 0,0-1 0,1 1 0,-1-1 0,0 1 0,0-1 0,1 0 0,-1 1 0,0-2 0,0 2 0,0-1 0,0 0 0,0 1 0,0-1 0,0 1 0,0-1 0,0-1 0,0 2 0,0 0 0,0 0 0,0-1 0,0 0 0,-21-9 0,-34 8 0,35 5 51,0 2-1,1 0 1,1 0-1,-28 13 1,24-9-64,0-1 1,-1-1-1,-39 7 1,56-13-63,0-1 0,1 1 1,-1-1-1,2 0 0,-2-1 1,0 1-1,1-1 0,-1 1 1,2-1-1,-2-1 0,1 0 1,0 0-1,0-1 1,0 1-1,0-1 0,0 1 1,1-1-1,0 0 0,0-1 1,-8-7-1,-7-12-6751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02.452"/>
    </inkml:context>
    <inkml:brush xml:id="br0">
      <inkml:brushProperty name="width" value="0.025" units="cm"/>
      <inkml:brushProperty name="height" value="0.025" units="cm"/>
    </inkml:brush>
  </inkml:definitions>
  <inkml:trace contextRef="#ctx0" brushRef="#br0">1420 2 24575,'-56'-1'0,"6"1"0,0 0 0,-1 2 0,-64 8 0,101-8 0,-1 0 0,1 1 0,0 0 0,0 1 0,2-1 0,-2 1 0,1 1 0,1 0 0,0 0 0,-1 1 0,3 0 0,-1 1 0,0 0 0,1-1 0,1 2 0,-8 6 0,-10 16 0,2-2 0,2 2 0,2 1 0,-19 42 0,-45 137 0,69-164 0,-15 42 0,5 1 0,7 1 0,-2 137 0,26-75 0,-9 214 0,3-358 0,-2-2 0,1 3 0,-1-1 0,-1 0 0,-1 0 0,0-1 0,1 0 0,-2 0 0,0 0 0,0-1 0,-1 1 0,-1 0 0,0-1 0,1 0 0,-2-1 0,-1 2 0,1-4 0,-2 2 0,1 0 0,0-1 0,-23 7 0,9-3 0,-1 0 0,-1-3 0,1 2 0,-1-5 0,0 2 0,0 1 0,-2-3 0,2-1 0,-34 0 0,56-1 0,-1 0 0,1 0 0,-1-1 0,0 1 0,1 0 0,-1 0 0,1-1 0,-1 0 0,0 0 0,2 0 0,-1-2 0,-1 2 0,2-1 0,-8-1 0,10 2 0,-1 0 0,-1 0 0,2-1 0,-1 0 0,1 1 0,1-1 0,-2 2 0,1-2 0,-1 0 0,2 0 0,-1 0 0,1 0 0,-2 1 0,2 0 0,0-1 0,0-1 0,0 2 0,0-5 0,2 2 0,-2 0 0,3 0 0,-2 0 0,1 0 0,1 1 0,0-1 0,0 0 0,0 0 0,0 1 0,0-1 0,2 1 0,-1 1 0,1-2 0,-1 1 0,1 0 0,0 0 0,-1 0 0,2 1 0,7-3 0,0 1 0,0 0 0,1 0 0,0 0 0,2 1 0,-2 0 0,1 1 0,1 0 0,-1 1 0,0-1 0,1 2 0,-1 0 0,28 2 0,-33-2 0,-1 2 0,2-1 0,-2 1 0,2 0 0,-2 0 0,0 1 0,0 0 0,0 0 0,1 0 0,-3 0 0,2 1 0,-1 0 0,0 0 0,0 0 0,0 1 0,-2 0 0,2 0 0,-2 2 0,-1-3 0,8 9 0,1 6 0,-2 2 0,-2-3 0,-1 2 0,1 1 0,-3-1 0,4 29 0,-2 129 0,-3-16 0,-3-138 0,2-2 0,3 2 0,-1-2 0,24 41 0,-14-37-112,-3-1 174,3 2-1,1-3 0,23 24 1,-36-43-130,0-1 0,-1 0-1,1 1 1,1-1 0,-1-1 0,1 2 0,0-1 0,0-1 0,2 0 0,-2 0-1,1 0 1,1-1 0,-2 2 0,2-2 0,0 0 0,1 0 0,-2 0 0,1-1-1,0 0 1,1 0 0,11 1 0,14-5-6758</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22.384"/>
    </inkml:context>
    <inkml:brush xml:id="br0">
      <inkml:brushProperty name="width" value="0.025" units="cm"/>
      <inkml:brushProperty name="height" value="0.025" units="cm"/>
    </inkml:brush>
  </inkml:definitions>
  <inkml:trace contextRef="#ctx0" brushRef="#br0">40291 5211 24575,'-14'2'0,"-2"2"0,1 0 0,0 0 0,1 1 0,0 1 0,-2 0 0,-19 14 0,-26 9 0,16-14 0,1-3 0,-2-2 0,0-1 0,-58 3 0,-192-4 0,196-9 0,-2877-1-1545,1075 0-876,-78-67 2109,1104 28-68,-4186-111-2017,4379 140 2276,-856-33 124,146-72-3,894 47 0,-413-49 0,-3133-213 0,2676 218 0,1026 82 0,-1263-180 103,865 103 231,-621-104 3823,91 13-1578,1043 169-2579,-739-134 0,-385-96 0,683 173 0,-313-48 0,587 71 0,-720-142 0,-278-99 0,1320 291 0,12 2 0,-1 1 0,-90-38 0,36-6 0,-109-70 0,125 66 0,-180-76 0,240 120 0,-97-36 0,3-5 0,-221-130 0,-221-147 0,277 169 0,64-5 0,33 22 0,143 106 0,-79-72 0,37 24 0,79 71 0,1-2 0,1 0 0,-28-43 0,-8-6 0,34 35 0,19 31 0,1-1 0,0 0 0,-1 2 0,1-2 0,0 1 0,-2 0 0,1 2 0,0-2 0,-1 0 0,1 2 0,-2-2 0,-5-5 0,9 9 0,1 0 0,-1 0 0,-1 0 0,2 0 0,-1 0 0,1 0 0,-1 0 0,0 0 0,1 1 0,-1-1 0,1 0 0,-1 0 0,1 0 0,-2 2 0,2-2 0,-1 0 0,1 0 0,-1 1 0,1-1 0,-1 1 0,1-1 0,-1 0 0,1 1 0,0-1 0,-1 2 0,1-2 0,0 1 0,-2-1 0,2 1 0,0-1 0,0 1 0,-1-1 0,1 2 0,0-2 0,0 2 0,-8 31 0,8-26 0,-5 24 0,-21 82 0,24-104 0,0-3 0,-1 1 0,0 1 0,-1-1 0,1 1 0,-2-2 0,1 1 0,0 0 0,-1-2 0,-1 1 0,-8 9 0,14-15 0,-1 1 0,0-1 0,1 1 0,-1-1 0,-1 2 0,2-2 0,-1 0 0,0 1 0,0-1 0,0 0 0,0 0 0,1 1 0,-2-1 0,1 0 0,0 0 0,0 0 0,0 0 0,1 0 0,-1 0 0,-1 0 0,1-1 0,0 1 0,0 0 0,0 0 0,1-1 0,-1 1 0,-1 0 0,1-2 0,1 2 0,-1-1 0,0 1 0,1-1 0,-1 1 0,-1-1 0,2 1 0,-1-2 0,1 1 0,-1 1 0,1-1 0,-1 0 0,1-1 0,-1 2 0,1-1 0,0 0 0,-1 0 0,1-1 0,0 1 0,0 1 0,0-1 0,0-3 0,-11-54 0,8 25 0,0 1 0,2 0 0,1 0 0,2-2 0,1 3 0,8-38 0,-9 64 4,-1 2 0,0-2-1,1 1 1,-1 0-1,2-1 1,-1 1 0,1 1-1,-1-1 1,1 0 0,0 0-1,-1 2 1,2-1 0,-1 1-1,1-1 1,-1 0 0,1 0-1,-1 1 1,1 0 0,-1 0-1,2 1 1,-2-2-1,2 2 1,-1 0 0,0-1-1,0 1 1,9 0 0,4 1-158,1 0 1,0 1-1,-1 2 1,1-1-1,18 7 1,-18-5-390,30 7-6283</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27.496"/>
    </inkml:context>
    <inkml:brush xml:id="br0">
      <inkml:brushProperty name="width" value="0.025" units="cm"/>
      <inkml:brushProperty name="height" value="0.025" units="cm"/>
    </inkml:brush>
  </inkml:definitions>
  <inkml:trace contextRef="#ctx0" brushRef="#br0">412 1 24575,'-19'0'0,"3"-1"0,0 1 0,0 1 0,1 0 0,-1 1 0,-25 7 0,36-8 0,0 1 0,1 0 0,-1 0 0,0 1 0,1 0 0,-1 0 0,1 1 0,0-1 0,0 1 0,1 0 0,-1-1 0,1 1 0,-1 0 0,1 1 0,1-1 0,-1 1 0,1 0 0,-1 0 0,1-1 0,-2 9 0,-2 16 0,0 1 0,2-1 0,1 1 0,2 0 0,1 0 0,6 47 0,-1 23 0,-5-95 0,1 76 0,21 154 0,-10-152 0,-8-54 0,0 1 0,2-2 0,14 43 0,-8-37 0,-2 0 0,-2 0 0,-1 2 0,3 54 0,-7-19 0,-8 90 0,5-154 0,-1 2 0,0-4 0,0 4 0,-1-2 0,0 0 0,0 0 0,-1 1 0,0-1 0,0 0 0,-1-1 0,-6 12 0,6-15 0,0 2 0,0-1 0,-1-2 0,1 2 0,-1 1 0,0-3 0,0 2 0,0-2 0,0 0 0,-1 1 0,1-1 0,-1 1 0,1-2 0,-1 0 0,0 0 0,-7 0 0,-2 2 0,-1-3 0,0 1 0,-30-2 0,41 1 0,1-1 0,0 1 0,-1-2 0,1 2 0,0-2 0,0 1 0,0 0 0,0-1 0,0 0 0,0 1 0,1-3 0,-1 2 0,0-1 0,1 1 0,0 0 0,0-2 0,0 2 0,0-2 0,-3-3 0,6 7 0,-1 0 0,1-1 0,-1-1 0,1 1 0,0 1 0,-1-1 0,1 0 0,0 1 0,0-1 0,-1 0 0,1 1 0,0-2 0,0 1 0,0 0 0,0 1 0,0-1 0,0 0 0,0 1 0,1-2 0,-1 1 0,0 0 0,0 1 0,1-1 0,-1 1 0,0-1 0,1-1 0,-1 1 0,1 1 0,-1-1 0,1 1 0,-1 0 0,1 0 0,0-1 0,-1 1 0,1-1 0,0 1 0,-1-2 0,1 2 0,0-1 0,0 1 0,-1 0 0,1-1 0,0 1 0,0 0 0,0 0 0,-1 0 0,3 0 0,1-1 0,0 0 0,0-1 0,0 2 0,1-1 0,-1 1 0,0 0 0,0 0 0,7 3 0,-5-2 0,0 0 0,1 1 0,-1 1 0,0-2 0,-1 3 0,1-2 0,-1 2 0,1-1 0,-1 2 0,0-2 0,0 1 0,0 1 0,-1-2 0,0 2 0,0 0 0,0 0 0,0 1 0,-1 0 0,4 6 0,2 9 0,-2 0 0,0 0 0,-1 1 0,3 25 0,8 30 0,3 0 0,17 49 0,-32-111 0,1 0 0,1-1 0,1 0 0,0 0 0,1-1 0,10 14 0,-15-23-170,0 0-1,1 1 0,0-1 1,-1 0-1,1 0 0,1-1 1,8 4-1,10 4-6655</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35.572"/>
    </inkml:context>
    <inkml:brush xml:id="br0">
      <inkml:brushProperty name="width" value="0.025" units="cm"/>
      <inkml:brushProperty name="height" value="0.025" units="cm"/>
    </inkml:brush>
  </inkml:definitions>
  <inkml:trace contextRef="#ctx0" brushRef="#br0">14817 6145 24507,'-14817'-6140'0,"14984"6326"0,-334-372 0,438 181 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46.923"/>
    </inkml:context>
    <inkml:brush xml:id="br0">
      <inkml:brushProperty name="width" value="0.025" units="cm"/>
      <inkml:brushProperty name="height" value="0.025" units="cm"/>
    </inkml:brush>
  </inkml:definitions>
  <inkml:trace contextRef="#ctx0" brushRef="#br0">860 0 24575,'0'15'0,"1"93"0,-40 188 0,-23-126 0,-10 85 0,56-120 0,16 169 0,5-122 0,-5-116 0,-5-1 0,-27 90 0,13-86 0,6-21 0,-28 56 0,16-47 0,6 0 0,-11 90 0,27-130 0,-4 7 0,-4 1 0,0 0 0,-3-2 0,0 1 0,-3-1 0,-28 28 0,3 0 0,28-34 0,-1-1 0,0 0 0,-34 26 0,44-38 0,1-1 0,-1 1 0,-2-1 0,3 1 0,-3-1 0,1 0 0,0 0 0,-1 0 0,1-1 0,-2 1 0,2-1 0,-2 0 0,-1 0 0,3-1 0,-2 0 0,0 1 0,0-1 0,0 0 0,-14 0 0,17-2 0,0 0 0,2 0 0,-2 0 0,2 0 0,-2 0 0,2 1 0,-2-2 0,1 0 0,1 1 0,0-1 0,0 0 0,-1 0 0,1 0 0,0 0 0,0 0 0,1 1 0,-1-2 0,2 1 0,-1-1 0,-1 1 0,1-1 0,1 1 0,1-1 0,-3-2 0,1 2 0,0-1 0,1 0 0,-1 1 0,1 0 0,-1-1 0,2 0 0,0 0 0,0 1 0,0-1 0,0 1 0,2-1 0,-2 0 0,1 1 0,1-1 0,-1 1 0,4-6 0,-3 8 0,-1 1 0,-1 0 0,2 0 0,-1-1 0,-1 1 0,2 0 0,0-1 0,-1 1 0,-1 0 0,2-1 0,-1 1 0,1 0 0,0 0 0,-2 0 0,1 0 0,1-1 0,-1 1 0,1 0 0,-2 1 0,1-1 0,1 0 0,0 0 0,-1 0 0,-1 0 0,2 1 0,-1-1 0,1 0 0,-2 1 0,2-1 0,-1 0 0,2 1 0,-3-1 0,1 0 0,1 0 0,-2 1 0,1 0 0,-1-1 0,2 1 0,-2 0 0,1-1 0,-1 1 0,0 0 0,2-1 0,0 2 0,34 30 0,-12-8 0,-3 0 0,0 0 0,-3 0 0,-2 1 0,-2 2 0,-1-1 0,-2 0 0,5 35 0,-11 322 0,-12-187 0,40 111 0,-3-5 0,-32 1373 0,4-1659 0,1 1 0,0 0 0,2-1 0,1 2 0,21 26 0,61 76 0,-77-109 0,0-1 0,-2 1 0,4-2 0,0 1 0,-1-1 0,3 0 0,-1 0 0,1-1 0,27 11 0,3-1 0,6-1 0,59 14 0,-100-28 0,67 20 0,-2 3 0,-2 1 0,126 62 0,-160-67-1365,-8-1-5461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50.656"/>
    </inkml:context>
    <inkml:brush xml:id="br0">
      <inkml:brushProperty name="width" value="0.025" units="cm"/>
      <inkml:brushProperty name="height" value="0.025" units="cm"/>
    </inkml:brush>
  </inkml:definitions>
  <inkml:trace contextRef="#ctx0" brushRef="#br0">39793 11947 24575,'-11'0'0,"-1246"-12"-716,-19-70-2122,508-14 1694,-190-40-1752,-173-24 1501,-116-15-1291,-101-12 1635,-2322-303-707,-1241-175-141,3586 479 1899,75 6 0,97 18 0,112 20 74,-483-54 259,-427-59 425,-916-119 2795,2719 356-3377,-1824-256 1600,22-112 846,1742 335-2622,-975-251 0,-78-86 0,724 182 1462,438 161-612,1-5 0,4-5 0,-101-74 0,-91-96-198,-313-320 0,-191-301 273,705 747-925,4-5 0,-98-167 0,39 43 0,-214-262 0,272 380 0,-118-203 0,-26-139 0,69 115 0,37 68 0,-82-219 0,87 195 0,11 35 0,69 146 0,18 56 0,-2-1 0,-36-72 0,23 62 0,-39-138 0,19 52 0,35 102 0,2 1 0,3-2 0,-9-94 0,21 144 0,0-2 0,-1 2 0,1 0 0,0 0 0,-1-1 0,1 1 0,-1-1 0,0 1 0,-1-1 0,1 1 0,0 0 0,0 0 0,0-1 0,-2 1 0,0-2 0,3 4 0,-2-1 0,1 0 0,0 1 0,0-2 0,0 2 0,0 0 0,-1-1 0,0 1 0,1 0 0,0 0 0,0-1 0,-1 1 0,1 0 0,0 0 0,0 0 0,0 0 0,-1 1 0,0-1 0,1 0 0,0 0 0,0 1 0,-3 1 0,-2 0 0,0 1 0,1 0 0,-1 1 0,0 0 0,1 1 0,-1-1 0,2 1 0,0-2 0,-1 2 0,-4 8 0,-3 3 0,1 3 0,2-2 0,0 2 0,-7 24 0,10-27 0,2 1 0,-4-2 0,0 0 0,0 1 0,-1-2 0,-2 2 0,-14 15 0,16-19 0,1 3 0,-1-2 0,1 1 0,-7 20 0,27-64 0,61-133 0,-60 136 0,1 1 0,1 2 0,1 1 0,26-27 0,-31 36 0,-2 2 0,0-1 0,9-17 0,16-21 0,-33 48 10,1 1-1,1 0 1,-1 0-1,0 0 1,1 0-1,-1 1 0,-1-1 1,2 1-1,0 0 1,0-1-1,-1 1 1,2-1-1,-2 1 1,1 0-1,1 1 1,-2-1-1,2 1 0,-2-1 1,2 1-1,-1 0 1,0 0-1,0 0 1,1 0-1,-2 1 1,1-1-1,1 1 1,-2 0-1,2-1 0,-2 1 1,2 1-1,-2 0 1,0-1-1,3 2 1,14 6-193,0 2 0,-3-1 0,32 27 0,-23-17-772,20 13-5871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8:01.857"/>
    </inkml:context>
    <inkml:brush xml:id="br0">
      <inkml:brushProperty name="width" value="0.025" units="cm"/>
      <inkml:brushProperty name="height" value="0.025" units="cm"/>
    </inkml:brush>
  </inkml:definitions>
  <inkml:trace contextRef="#ctx0" brushRef="#br0">45070 1975 24575,'-3090'0'-5178,"2089"0"3766,-194-2-1789,-168-11 1855,-142-13-838,-99-4 1358,1467 27 805,-5459-90-1304,-17 43 435,-673 51 885,3329 1 46,330-41 124,22-112 243,13-142 301,1820 197-262,356 45 256,-1614-211 1240,889 59 756,-300-15 167,1094 183-2904,-237-35 2473,578 69-2377,-9-1 189,0-1 0,-2 0 0,2-1 0,0 0 0,1-1-1,-1 0 1,1 0 0,-16-11 0,30 16-223,-2 0 1,1-1-1,1 1 1,-1-1-1,1 1 1,-1-1-1,0 1 1,1 0-1,-1-1 1,1 1-1,-2-1 1,2 1-1,0-1 0,-1 0 1,1 1-1,0-1 1,-1 0-1,1 0 1,0 1-1,0-1 1,0 0-1,-1 0 1,1 0-1,15-4 553,29 10-196,-23 3-360,0 1 1,-1 1 0,0 0 0,-1 2-1,-2-1 1,28 21 0,35 24 11,-79-55-33,1-1 0,-1 1 0,0 0 0,0 0 0,0-1 0,2 1 0,-2 0 0,0-1 0,0 1 0,0-1 0,2 0 0,-2 1 0,0-1 0,0 0 0,1 0 0,0 0 0,1 0 0,-2 0 0,0 0 0,-1-1 0,2 1 0,-2 0 0,1-1 0,-1 1 0,1-1 0,-1 1 0,1-1 0,-1 1 0,1-1 0,-1 1 0,0-1 0,1 1 0,-1-1 0,0 1 0,0-1 0,2 0 0,-2 1 0,0-1 0,0 0 0,0 1 0,0-1 0,0-1 0,1-2 0,-1-2 0,0 0 0,-1 2 0,-1-2 0,1 0 0,0 1 0,-2-5 0,-15-24 0,-2-1 0,-1 1 0,-2 1 0,-30-31 0,37 43 0,-13-11 0,21 23 0,-1 1 0,2 0 0,0-1 0,2 0 0,-1 0 0,-8-18 0,13 26 8,1-1 1,0 1-1,0 0 0,0-1 0,0 1 0,0-1 0,0 1 1,0-1-1,0 1 0,0 0 0,0 0 0,1 0 0,-1-1 0,1 1 1,-1 0-1,1-1 0,0 1 0,-1 0 0,1 0 0,1 0 1,-1-1-1,0 1 0,0 0 0,0 0 0,0 0 0,1 0 1,-1 0-1,0 1 0,0 0 0,1-1 0,0 1 0,-1-1 0,1 0 1,-1 1-1,0-1 0,2 1 0,-2 0 0,0 0 0,1-1 1,3 1-1,9-2-282,-1 1 0,0 0 1,25 2-1,-28-1-331,31 2-6221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30T07:22:22.638"/>
    </inkml:context>
    <inkml:brush xml:id="br0">
      <inkml:brushProperty name="width" value="0.025" units="cm"/>
      <inkml:brushProperty name="height" value="0.025" units="cm"/>
    </inkml:brush>
  </inkml:definitions>
  <inkml:trace contextRef="#ctx0" brushRef="#br0">43498 0 24575,'-15'10'0,"-3"1"0,0-1 0,0 0 0,-2-1 0,-1 0 0,-34 11 0,-17 8 0,-1011 360 0,824-300 0,-2966 947-1958,3093-996 1749,-2563 752-55,1777-557 214,-1046 199 0,-1140 130-538,-104-117 355,108-149-1171,-45-109 1507,562-140-243,29-57 125,2463 8 16,-3961-130-1,1442-70 1081,2277 162-527,-416-75-1,-283-85 1864,762 136-2355,7-7 0,-402-136 0,485 147-46,80 26-16,-163-49 0,10-6 0,-340-150 0,-242-158 0,738 342 0,6-2 0,4-1 0,-136-120 0,135 98 0,-184-115 0,177 134 0,8-2 0,5-1 0,-81-90 0,-131-211 0,184 250 0,71 80 0,-40-56 0,-56-55 0,100 112 0,4-1 0,0 0 0,6 0 0,-29-70 0,41 69 0,-5 1 0,-5-1 0,-35-39 0,-8-13 0,66 86 0,0 0 0,0 1 0,0-1 0,0 1 0,0-2 0,0 2 0,-3-1 0,3 0 0,0 1 0,0-1 0,0 1 0,-2-1 0,2 1 0,0-1 0,-3 1 0,3-1 0,0 1 0,-3 0 0,3-1 0,-2 1 0,2-1 0,-3 1 0,3 0 0,-2-1 0,2 1 0,-3 0 0,3 0 0,-2-1 0,-26 14 0,-24 41 0,40-37 0,-119 101 0,113-106 0,-3 2 0,1-2 0,-3 0 0,0 2 0,0-3 0,-39 13 0,60-23 0,-1 0 0,3 0 0,-2 0 0,-1 1 0,0-1 0,1-1 0,-1 1 0,1 0 0,-3 0 0,2-1 0,0 1 0,1-1 0,-1 2 0,-2-2 0,3 1 0,0-1 0,-4 0 0,3 1 0,1-1 0,-3 0 0,2 0 0,1 0 0,-3 0 0,2 0 0,0-1 0,1 1 0,-3 0 0,2 0 0,1-1 0,-3 1 0,2-2 0,0 2 0,1-1 0,0 0 0,0 0 0,-3 1 0,2-1 0,1 0 0,-1-1 0,0 1 0,3 0 0,-2 0 0,-1 0 0,1 0 0,-1 0 0,3 0 0,-2-1 0,2 1 0,-3 0 0,3 0 0,-3-1 0,3 1 0,0 0 0,0-1 0,-2 1 0,2-3 0,-8-10 0,3-2 0,0 0 0,0-28 0,5 43 0,-3-39 0,1 20 0,-1 0 0,3 1 0,3-1 0,2 2 0,0-1 0,21-31 0,-24 47 0,3 1 0,-2-1 0,2 1 0,0-2 0,0 2 0,0-1 0,-1 1 0,2 0 0,-1 0 0,0 1 0,2-1 0,-1 0 0,1 1 0,-2 0 0,3-1 0,-2 1 0,1 0 0,0 0 0,1 1 0,0-2 0,-3 1 0,3 1 0,-1 0 0,1 0 0,0 0 0,-1 0 0,1 0 0,0 1 0,-3-1 0,2 2 0,9-1 0,25 3 0,0 0 0,-3 1 0,1 2 0,43 7 0,293 76 0,-370-90 0,-2 2 0,-1-2 0,3 1 0,-2-1 0,-1 1 0,1 0 0,0-1 0,2 1 0,-3 0 0,1 0 0,-1 0 0,1 0 0,-1 0 0,-2 0 0,3 0 0,0 1 0,-1 0 0,3 1 0,-7-2 0,2-1 0,-3 2 0,3-2 0,-2 1 0,2-1 0,-3 1 0,3-1 0,-3 1 0,3-1 0,-2 1 0,2-1 0,-3 0 0,1 1 0,2-1 0,-3 0 0,1 0 0,2 1 0,-3-1 0,1 0 0,2 0 0,-3 0 0,0 0 0,1 0 0,-1 0 0,-144 1 0,91-5 0,-1-1 0,4-1 0,-106-18 0,105 16 0,-5-1 0,3 2 0,-65-5 0,114 11-36,-1 1 0,0 0 0,3 0 1,-2 0-1,-1 0 0,1 0 0,0 0 0,-1 1 0,3-1 0,-3 1 0,0 1 0,1 0 0,2-1 0,-3 0 0,3 0 0,-3 1 0,3-1 1,-3 1-1,3 0 0,0 0 0,0-1 0,0 1 0,0 1 0,0 0 0,-1-1 0,4 0 0,-3 1 0,2-1 0,-2 1 0,3-1 0,-1 1 1,0 1-1,1-2 0,-1 1 0,3 0 0,-2 0 0,-1 5 0,-7 22-6790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55.323"/>
    </inkml:context>
    <inkml:brush xml:id="br0">
      <inkml:brushProperty name="width" value="0.025" units="cm"/>
      <inkml:brushProperty name="height" value="0.025" units="cm"/>
    </inkml:brush>
  </inkml:definitions>
  <inkml:trace contextRef="#ctx0" brushRef="#br0">19599 0 24575,'-7'10'0,"-1"-2"0,0 1 0,0 0 0,-1-1 0,-1-1 0,-15 12 0,-7 5 0,-456 316 0,370-263 0,-1334 830-1958,1392-871 1749,-1154 658-55,801-488 214,-473 174 0,-512 113-538,-48-103 355,50-130-1171,-20-94 1507,251-124-243,15-50 125,1109 7 16,-1785-114-1,650-61 1081,1026 142-527,-188-67-1,-127-73 1864,344 118-2355,2-6 0,-180-118 0,217 129-46,37 23-16,-73-45 0,4-4 0,-153-132 0,-110-138 0,334 299 0,2-1 0,2-2 0,-61-103 0,59 85 0,-82-101 0,82 118 0,1-4 0,4 2 0,-38-81 0,-60-185 0,85 221 0,32 69 0,-18-48 0,-26-51 0,45 100 0,2 0 0,0-1 0,3 0 0,-14-61 0,20 61 0,-3-1 0,-3 2 0,-15-37 0,-4-11 0,30 76 0,0 0 0,0 1 0,0-1 0,0 1 0,0-1 0,0 1 0,-1 0 0,1-1 0,0 1 0,0-1 0,0 1 0,-1-1 0,1 1 0,0-1 0,-2 1 0,2 0 0,0 0 0,-1 0 0,1-1 0,-1 1 0,1-1 0,-1 1 0,1 0 0,-1 0 0,1 0 0,-1 0 0,1 0 0,-1-2 0,-12 12 0,-9 39 0,15-35 0,-53 90 0,52-94 0,0 3 0,-1-2 0,-2-1 0,1 2 0,0-3 0,-18 15 0,27-24 0,0 0 0,1 1 0,-1 0 0,-1 0 0,1 0 0,0-1 0,0 1 0,0 0 0,-1-1 0,0 0 0,1 2 0,0-2 0,0 0 0,-1 0 0,0 1 0,1-1 0,-1 0 0,1 1 0,0-1 0,-2 0 0,2 0 0,0 0 0,-1 0 0,1 0 0,-1-1 0,1 1 0,-1 0 0,1 0 0,0-1 0,-2 1 0,2 0 0,0 0 0,0-2 0,0 2 0,0-1 0,-2 1 0,2-1 0,0 0 0,0 0 0,0 0 0,1 0 0,-1 1 0,-1 0 0,1-2 0,0 1 0,1 0 0,-1-1 0,1 1 0,-1 0 0,1 0 0,-1-1 0,1 1 0,0 0 0,0-1 0,-1 1 0,1-2 0,-4-9 0,2-2 0,-1 0 0,1-24 0,2 36 0,-1-34 0,0 20 0,0-3 0,1 3 0,1-1 0,1 0 0,0 1 0,10-28 0,-11 41 0,1 1 0,0 0 0,0 0 0,0 0 0,1 0 0,-1 0 0,0 0 0,0 1 0,1-2 0,-1 2 0,1-1 0,0 0 0,0 1 0,0 0 0,0-1 0,-1 1 0,2 0 0,-1 0 0,1 1 0,-1-1 0,-1 0 0,2 1 0,-1 0 0,1 0 0,-1 0 0,1 0 0,-1 0 0,1 1 0,-2-1 0,1 1 0,4 0 0,12 3 0,-1 0 0,-2 2 0,3-1 0,18 7 0,132 67 0,-167-79 0,-1 1 0,0-1 0,2 1 0,-2-1 0,0 1 0,0-1 0,0 0 0,2 1 0,-2 1 0,0-2 0,0 1 0,0 0 0,0 0 0,-1 0 0,2 0 0,-2 0 0,2 2 0,0-1 0,-3-1 0,1-1 0,-1 1 0,1-1 0,-2 1 0,2-1 0,0 1 0,0-1 0,-2 2 0,2-2 0,-1 0 0,1 0 0,-1 0 0,0 1 0,1-1 0,-1 0 0,0 0 0,1 1 0,-2-1 0,1 0 0,1 0 0,-1 0 0,0 0 0,0 0 0,0 0 0,-66 1 0,42-4 0,-1-2 0,2-1 0,-47-14 0,45 12 0,1 0 0,0 2 0,-29-3 0,50 8-36,1 1 0,-1 0 0,2 0 1,-2 0-1,1 0 0,0 0 0,-1 0 0,1 1 0,0-1 0,0 1 0,-1 0 0,1 0 0,1 0 0,-2 0 0,2 0 0,-2 1 0,2-2 1,-1 3-1,0-2 0,1 0 0,0 0 0,-1 1 0,1 1 0,0-1 0,0 0 0,0 0 0,0 1 0,1-1 0,-1 1 0,1-1 0,-1 0 1,1 1-1,0-1 0,0 1 0,1-1 0,-1 1 0,0 4 0,-4 19-6790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F4EA-9608-4122-8566-98B5A43C1E99}">
  <dimension ref="B2:H16"/>
  <sheetViews>
    <sheetView zoomScale="85" zoomScaleNormal="85" workbookViewId="0">
      <selection activeCell="C28" sqref="C28"/>
    </sheetView>
  </sheetViews>
  <sheetFormatPr defaultRowHeight="14.25"/>
  <cols>
    <col min="2" max="2" width="14.5" style="2" customWidth="1"/>
    <col min="3" max="3" width="112.25" customWidth="1"/>
    <col min="6" max="6" width="9" style="2"/>
    <col min="7" max="7" width="9" style="1"/>
    <col min="8" max="8" width="9" style="19"/>
  </cols>
  <sheetData>
    <row r="2" spans="2:8">
      <c r="B2" s="123" t="s">
        <v>183</v>
      </c>
      <c r="C2" s="95" t="s">
        <v>184</v>
      </c>
    </row>
    <row r="3" spans="2:8">
      <c r="B3" s="123"/>
      <c r="C3" s="95" t="s">
        <v>185</v>
      </c>
    </row>
    <row r="4" spans="2:8">
      <c r="B4" s="123"/>
      <c r="C4" s="95" t="s">
        <v>186</v>
      </c>
    </row>
    <row r="5" spans="2:8">
      <c r="B5" s="123"/>
      <c r="C5" s="95" t="s">
        <v>187</v>
      </c>
    </row>
    <row r="6" spans="2:8">
      <c r="B6" s="123"/>
      <c r="C6" s="95" t="s">
        <v>188</v>
      </c>
    </row>
    <row r="7" spans="2:8">
      <c r="B7" s="123"/>
      <c r="C7" s="95" t="s">
        <v>227</v>
      </c>
    </row>
    <row r="8" spans="2:8">
      <c r="B8" s="123" t="s">
        <v>234</v>
      </c>
      <c r="C8" s="95" t="s">
        <v>292</v>
      </c>
    </row>
    <row r="9" spans="2:8">
      <c r="B9" s="123"/>
      <c r="C9" s="95" t="s">
        <v>293</v>
      </c>
    </row>
    <row r="10" spans="2:8">
      <c r="B10" s="123"/>
      <c r="C10" s="95" t="s">
        <v>294</v>
      </c>
    </row>
    <row r="11" spans="2:8">
      <c r="B11" s="123"/>
      <c r="C11" s="95" t="s">
        <v>289</v>
      </c>
    </row>
    <row r="12" spans="2:8">
      <c r="B12" s="96" t="s">
        <v>311</v>
      </c>
      <c r="C12" s="95" t="s">
        <v>312</v>
      </c>
    </row>
    <row r="13" spans="2:8">
      <c r="B13" s="96" t="s">
        <v>317</v>
      </c>
      <c r="C13" s="95" t="s">
        <v>318</v>
      </c>
    </row>
    <row r="14" spans="2:8" s="97" customFormat="1">
      <c r="B14" s="123" t="s">
        <v>403</v>
      </c>
      <c r="C14" s="95" t="s">
        <v>412</v>
      </c>
      <c r="F14" s="2"/>
      <c r="G14" s="1"/>
      <c r="H14" s="19"/>
    </row>
    <row r="15" spans="2:8">
      <c r="B15" s="123"/>
      <c r="C15" s="95" t="s">
        <v>413</v>
      </c>
    </row>
    <row r="16" spans="2:8">
      <c r="B16" s="123"/>
      <c r="C16" s="95" t="s">
        <v>414</v>
      </c>
    </row>
  </sheetData>
  <mergeCells count="3">
    <mergeCell ref="B2:B7"/>
    <mergeCell ref="B8:B11"/>
    <mergeCell ref="B14:B16"/>
  </mergeCells>
  <phoneticPr fontId="1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EF793-561D-443F-99A3-E780A4F65AAB}">
  <sheetPr>
    <tabColor rgb="FFFF0000"/>
  </sheetPr>
  <dimension ref="A1:AX70"/>
  <sheetViews>
    <sheetView zoomScale="70" zoomScaleNormal="70" workbookViewId="0">
      <selection activeCell="R28" sqref="R28:AK28"/>
    </sheetView>
  </sheetViews>
  <sheetFormatPr defaultRowHeight="14.25"/>
  <cols>
    <col min="4" max="4" width="13.375" bestFit="1" customWidth="1"/>
    <col min="7" max="7" width="9.875" bestFit="1" customWidth="1"/>
    <col min="46" max="46" width="44.75" customWidth="1"/>
    <col min="47" max="47" width="6.625" customWidth="1"/>
    <col min="48" max="48" width="41.75" bestFit="1" customWidth="1"/>
    <col min="50" max="50" width="38.875" customWidth="1"/>
    <col min="51" max="51" width="31.5" customWidth="1"/>
  </cols>
  <sheetData>
    <row r="1" spans="1:38">
      <c r="A1" t="s">
        <v>319</v>
      </c>
    </row>
    <row r="2" spans="1:38" ht="15" thickBot="1"/>
    <row r="3" spans="1:38" ht="49.9" customHeight="1" thickBot="1">
      <c r="D3" s="101" t="s">
        <v>394</v>
      </c>
      <c r="E3" s="102"/>
      <c r="F3" s="102"/>
      <c r="G3" s="102"/>
      <c r="H3" s="102"/>
      <c r="I3" s="102"/>
      <c r="J3" s="102"/>
      <c r="K3" s="102"/>
      <c r="L3" s="102"/>
      <c r="M3" s="102"/>
      <c r="N3" s="102"/>
      <c r="O3" s="102"/>
      <c r="P3" s="102"/>
      <c r="Q3" s="102"/>
      <c r="R3" s="102"/>
      <c r="S3" s="102"/>
      <c r="T3" s="102"/>
      <c r="U3" s="102"/>
      <c r="V3" s="102"/>
      <c r="W3" s="102"/>
      <c r="X3" s="102"/>
      <c r="Y3" s="102"/>
      <c r="Z3" s="102"/>
      <c r="AA3" s="102"/>
      <c r="AB3" s="102"/>
      <c r="AC3" s="102"/>
      <c r="AD3" s="102"/>
      <c r="AE3" s="102"/>
      <c r="AF3" s="102"/>
      <c r="AG3" s="102"/>
      <c r="AH3" s="102"/>
      <c r="AI3" s="102"/>
      <c r="AJ3" s="102"/>
      <c r="AK3" s="103"/>
    </row>
    <row r="4" spans="1:38">
      <c r="D4" s="88"/>
      <c r="E4" s="89" t="s">
        <v>41</v>
      </c>
      <c r="F4" s="90">
        <v>31</v>
      </c>
      <c r="G4" s="90">
        <v>30</v>
      </c>
      <c r="H4" s="90" t="s">
        <v>323</v>
      </c>
      <c r="I4" s="90" t="s">
        <v>324</v>
      </c>
      <c r="J4" s="90" t="s">
        <v>325</v>
      </c>
      <c r="K4" s="90" t="s">
        <v>326</v>
      </c>
      <c r="L4" s="90" t="s">
        <v>327</v>
      </c>
      <c r="M4" s="90" t="s">
        <v>328</v>
      </c>
      <c r="N4" s="88">
        <v>23</v>
      </c>
      <c r="O4" s="88">
        <v>22</v>
      </c>
      <c r="P4" s="88">
        <v>21</v>
      </c>
      <c r="Q4" s="88">
        <v>20</v>
      </c>
      <c r="R4" s="88">
        <v>19</v>
      </c>
      <c r="S4" s="88">
        <v>18</v>
      </c>
      <c r="T4" s="88">
        <v>17</v>
      </c>
      <c r="U4" s="88">
        <v>16</v>
      </c>
      <c r="V4" s="88">
        <v>15</v>
      </c>
      <c r="W4" s="88">
        <v>14</v>
      </c>
      <c r="X4" s="88">
        <v>13</v>
      </c>
      <c r="Y4" s="88">
        <v>12</v>
      </c>
      <c r="Z4" s="88">
        <v>11</v>
      </c>
      <c r="AA4" s="88">
        <v>10</v>
      </c>
      <c r="AB4" s="88">
        <v>9</v>
      </c>
      <c r="AC4" s="88">
        <v>8</v>
      </c>
      <c r="AD4" s="88">
        <v>7</v>
      </c>
      <c r="AE4" s="88">
        <v>6</v>
      </c>
      <c r="AF4" s="88">
        <v>5</v>
      </c>
      <c r="AG4" s="88">
        <v>4</v>
      </c>
      <c r="AH4" s="88">
        <v>3</v>
      </c>
      <c r="AI4" s="88">
        <v>2</v>
      </c>
      <c r="AJ4" s="88">
        <v>1</v>
      </c>
      <c r="AK4" s="88">
        <v>0</v>
      </c>
    </row>
    <row r="5" spans="1:38">
      <c r="D5" s="4" t="s">
        <v>39</v>
      </c>
      <c r="E5" s="18"/>
      <c r="F5" s="5" t="s">
        <v>9</v>
      </c>
      <c r="G5" s="104" t="s">
        <v>6</v>
      </c>
      <c r="H5" s="105"/>
      <c r="I5" s="105"/>
      <c r="J5" s="105"/>
      <c r="K5" s="105"/>
      <c r="L5" s="105"/>
      <c r="M5" s="106"/>
      <c r="N5" s="104" t="s">
        <v>7</v>
      </c>
      <c r="O5" s="105"/>
      <c r="P5" s="105"/>
      <c r="Q5" s="105"/>
      <c r="R5" s="105"/>
      <c r="S5" s="105"/>
      <c r="T5" s="105"/>
      <c r="U5" s="105"/>
      <c r="V5" s="105"/>
      <c r="W5" s="105"/>
      <c r="X5" s="105"/>
      <c r="Y5" s="105"/>
      <c r="Z5" s="105"/>
      <c r="AA5" s="105"/>
      <c r="AB5" s="105"/>
      <c r="AC5" s="105"/>
      <c r="AD5" s="105"/>
      <c r="AE5" s="105"/>
      <c r="AF5" s="105"/>
      <c r="AG5" s="105"/>
      <c r="AH5" s="105"/>
      <c r="AI5" s="105"/>
      <c r="AJ5" s="105"/>
      <c r="AK5" s="106"/>
    </row>
    <row r="6" spans="1:38" ht="60" customHeight="1">
      <c r="D6" s="6" t="s">
        <v>402</v>
      </c>
      <c r="E6" s="20">
        <v>110</v>
      </c>
      <c r="F6" s="7" t="s">
        <v>321</v>
      </c>
      <c r="G6" s="107" t="str">
        <f>"0x" &amp; DEC2HEX(E6,2)</f>
        <v>0x6E</v>
      </c>
      <c r="H6" s="108"/>
      <c r="I6" s="108"/>
      <c r="J6" s="108"/>
      <c r="K6" s="108"/>
      <c r="L6" s="108"/>
      <c r="M6" s="109"/>
      <c r="N6" s="107" t="s">
        <v>395</v>
      </c>
      <c r="O6" s="108"/>
      <c r="P6" s="108"/>
      <c r="Q6" s="108"/>
      <c r="R6" s="108"/>
      <c r="S6" s="108"/>
      <c r="T6" s="108"/>
      <c r="U6" s="108"/>
      <c r="V6" s="108"/>
      <c r="W6" s="108"/>
      <c r="X6" s="108"/>
      <c r="Y6" s="108"/>
      <c r="Z6" s="108"/>
      <c r="AA6" s="108"/>
      <c r="AB6" s="108"/>
      <c r="AC6" s="108"/>
      <c r="AD6" s="108"/>
      <c r="AE6" s="108"/>
      <c r="AF6" s="108"/>
      <c r="AG6" s="108"/>
      <c r="AH6" s="108"/>
      <c r="AI6" s="108"/>
      <c r="AJ6" s="108"/>
      <c r="AK6" s="109"/>
    </row>
    <row r="7" spans="1:38" ht="15" thickBot="1"/>
    <row r="8" spans="1:38" ht="24" thickBot="1">
      <c r="D8" s="101" t="s">
        <v>355</v>
      </c>
      <c r="E8" s="102"/>
      <c r="F8" s="102"/>
      <c r="G8" s="102"/>
      <c r="H8" s="102"/>
      <c r="I8" s="102"/>
      <c r="J8" s="102"/>
      <c r="K8" s="102"/>
      <c r="L8" s="102"/>
      <c r="M8" s="102"/>
      <c r="N8" s="102"/>
      <c r="O8" s="102"/>
      <c r="P8" s="102"/>
      <c r="Q8" s="102"/>
      <c r="R8" s="102"/>
      <c r="S8" s="102"/>
      <c r="T8" s="102"/>
      <c r="U8" s="102"/>
      <c r="V8" s="102"/>
      <c r="W8" s="102"/>
      <c r="X8" s="102"/>
      <c r="Y8" s="102"/>
      <c r="Z8" s="102"/>
      <c r="AA8" s="102"/>
      <c r="AB8" s="102"/>
      <c r="AC8" s="102"/>
      <c r="AD8" s="102"/>
      <c r="AE8" s="102"/>
      <c r="AF8" s="102"/>
      <c r="AG8" s="102"/>
      <c r="AH8" s="102"/>
      <c r="AI8" s="102"/>
      <c r="AJ8" s="102"/>
      <c r="AK8" s="102"/>
      <c r="AL8" s="103"/>
    </row>
    <row r="9" spans="1:38">
      <c r="D9" s="88"/>
      <c r="E9" s="89" t="s">
        <v>41</v>
      </c>
      <c r="F9" s="90">
        <v>31</v>
      </c>
      <c r="G9" s="90">
        <v>30</v>
      </c>
      <c r="H9" s="90" t="s">
        <v>323</v>
      </c>
      <c r="I9" s="90" t="s">
        <v>324</v>
      </c>
      <c r="J9" s="90" t="s">
        <v>325</v>
      </c>
      <c r="K9" s="90" t="s">
        <v>326</v>
      </c>
      <c r="L9" s="90" t="s">
        <v>327</v>
      </c>
      <c r="M9" s="90" t="s">
        <v>328</v>
      </c>
      <c r="N9" s="88">
        <v>23</v>
      </c>
      <c r="O9" s="88">
        <v>22</v>
      </c>
      <c r="P9" s="88">
        <v>21</v>
      </c>
      <c r="Q9" s="88">
        <v>20</v>
      </c>
      <c r="R9" s="88">
        <v>19</v>
      </c>
      <c r="S9" s="88">
        <v>18</v>
      </c>
      <c r="T9" s="88">
        <v>17</v>
      </c>
      <c r="U9" s="88">
        <v>16</v>
      </c>
      <c r="V9" s="88">
        <v>15</v>
      </c>
      <c r="W9" s="88">
        <v>14</v>
      </c>
      <c r="X9" s="88">
        <v>13</v>
      </c>
      <c r="Y9" s="88">
        <v>12</v>
      </c>
      <c r="Z9" s="88">
        <v>11</v>
      </c>
      <c r="AA9" s="88">
        <v>10</v>
      </c>
      <c r="AB9" s="88">
        <v>9</v>
      </c>
      <c r="AC9" s="88">
        <v>8</v>
      </c>
      <c r="AD9" s="88">
        <v>7</v>
      </c>
      <c r="AE9" s="88">
        <v>6</v>
      </c>
      <c r="AF9" s="88">
        <v>5</v>
      </c>
      <c r="AG9" s="88">
        <v>4</v>
      </c>
      <c r="AH9" s="88">
        <v>3</v>
      </c>
      <c r="AI9" s="88">
        <v>2</v>
      </c>
      <c r="AJ9" s="88">
        <v>1</v>
      </c>
      <c r="AK9" s="88">
        <v>0</v>
      </c>
      <c r="AL9" s="91"/>
    </row>
    <row r="10" spans="1:38">
      <c r="D10" s="4" t="s">
        <v>39</v>
      </c>
      <c r="E10" s="18"/>
      <c r="F10" s="5" t="s">
        <v>9</v>
      </c>
      <c r="G10" s="104" t="s">
        <v>6</v>
      </c>
      <c r="H10" s="105"/>
      <c r="I10" s="105"/>
      <c r="J10" s="105"/>
      <c r="K10" s="105"/>
      <c r="L10" s="105"/>
      <c r="M10" s="106"/>
      <c r="N10" s="104" t="s">
        <v>7</v>
      </c>
      <c r="O10" s="105"/>
      <c r="P10" s="105"/>
      <c r="Q10" s="105"/>
      <c r="R10" s="105"/>
      <c r="S10" s="105"/>
      <c r="T10" s="105"/>
      <c r="U10" s="105"/>
      <c r="V10" s="105"/>
      <c r="W10" s="105"/>
      <c r="X10" s="105"/>
      <c r="Y10" s="105"/>
      <c r="Z10" s="105"/>
      <c r="AA10" s="105"/>
      <c r="AB10" s="105"/>
      <c r="AC10" s="105"/>
      <c r="AD10" s="105"/>
      <c r="AE10" s="105"/>
      <c r="AF10" s="105"/>
      <c r="AG10" s="105"/>
      <c r="AH10" s="105"/>
      <c r="AI10" s="105"/>
      <c r="AJ10" s="105"/>
      <c r="AK10" s="106"/>
      <c r="AL10" s="16"/>
    </row>
    <row r="11" spans="1:38" ht="40.15" customHeight="1">
      <c r="D11" s="6" t="s">
        <v>358</v>
      </c>
      <c r="E11" s="20">
        <v>111</v>
      </c>
      <c r="F11" s="7" t="s">
        <v>321</v>
      </c>
      <c r="G11" s="107" t="str">
        <f t="shared" ref="G11:G22" si="0">"0x" &amp; DEC2HEX(E11,2)</f>
        <v>0x6F</v>
      </c>
      <c r="H11" s="108"/>
      <c r="I11" s="108"/>
      <c r="J11" s="108"/>
      <c r="K11" s="108"/>
      <c r="L11" s="108"/>
      <c r="M11" s="109"/>
      <c r="N11" s="6">
        <v>0</v>
      </c>
      <c r="O11" s="107" t="s">
        <v>356</v>
      </c>
      <c r="P11" s="108"/>
      <c r="Q11" s="108"/>
      <c r="R11" s="108"/>
      <c r="S11" s="108"/>
      <c r="T11" s="108"/>
      <c r="U11" s="109"/>
      <c r="V11" s="108" t="s">
        <v>357</v>
      </c>
      <c r="W11" s="108"/>
      <c r="X11" s="108"/>
      <c r="Y11" s="108"/>
      <c r="Z11" s="108"/>
      <c r="AA11" s="108"/>
      <c r="AB11" s="108"/>
      <c r="AC11" s="108"/>
      <c r="AD11" s="108"/>
      <c r="AE11" s="108"/>
      <c r="AF11" s="108"/>
      <c r="AG11" s="108"/>
      <c r="AH11" s="108"/>
      <c r="AI11" s="108"/>
      <c r="AJ11" s="108"/>
      <c r="AK11" s="109"/>
      <c r="AL11" s="16">
        <v>0</v>
      </c>
    </row>
    <row r="12" spans="1:38" ht="40.15" customHeight="1">
      <c r="D12" s="6" t="s">
        <v>359</v>
      </c>
      <c r="E12" s="20">
        <v>112</v>
      </c>
      <c r="F12" s="7" t="s">
        <v>321</v>
      </c>
      <c r="G12" s="107" t="str">
        <f t="shared" si="0"/>
        <v>0x70</v>
      </c>
      <c r="H12" s="108"/>
      <c r="I12" s="108"/>
      <c r="J12" s="108"/>
      <c r="K12" s="108"/>
      <c r="L12" s="108"/>
      <c r="M12" s="109"/>
      <c r="N12" s="6">
        <v>0</v>
      </c>
      <c r="O12" s="107" t="s">
        <v>356</v>
      </c>
      <c r="P12" s="108"/>
      <c r="Q12" s="108"/>
      <c r="R12" s="108"/>
      <c r="S12" s="108"/>
      <c r="T12" s="108"/>
      <c r="U12" s="109"/>
      <c r="V12" s="108" t="s">
        <v>357</v>
      </c>
      <c r="W12" s="108"/>
      <c r="X12" s="108"/>
      <c r="Y12" s="108"/>
      <c r="Z12" s="108"/>
      <c r="AA12" s="108"/>
      <c r="AB12" s="108"/>
      <c r="AC12" s="108"/>
      <c r="AD12" s="108"/>
      <c r="AE12" s="108"/>
      <c r="AF12" s="108"/>
      <c r="AG12" s="108"/>
      <c r="AH12" s="108"/>
      <c r="AI12" s="108"/>
      <c r="AJ12" s="108"/>
      <c r="AK12" s="109"/>
      <c r="AL12" s="16">
        <v>0</v>
      </c>
    </row>
    <row r="13" spans="1:38" ht="40.15" customHeight="1">
      <c r="D13" s="6" t="s">
        <v>360</v>
      </c>
      <c r="E13" s="20">
        <v>113</v>
      </c>
      <c r="F13" s="7" t="s">
        <v>321</v>
      </c>
      <c r="G13" s="107" t="str">
        <f t="shared" si="0"/>
        <v>0x71</v>
      </c>
      <c r="H13" s="108"/>
      <c r="I13" s="108"/>
      <c r="J13" s="108"/>
      <c r="K13" s="108"/>
      <c r="L13" s="108"/>
      <c r="M13" s="109"/>
      <c r="N13" s="6">
        <v>0</v>
      </c>
      <c r="O13" s="107" t="s">
        <v>356</v>
      </c>
      <c r="P13" s="108"/>
      <c r="Q13" s="108"/>
      <c r="R13" s="108"/>
      <c r="S13" s="108"/>
      <c r="T13" s="108"/>
      <c r="U13" s="109"/>
      <c r="V13" s="108" t="s">
        <v>357</v>
      </c>
      <c r="W13" s="108"/>
      <c r="X13" s="108"/>
      <c r="Y13" s="108"/>
      <c r="Z13" s="108"/>
      <c r="AA13" s="108"/>
      <c r="AB13" s="108"/>
      <c r="AC13" s="108"/>
      <c r="AD13" s="108"/>
      <c r="AE13" s="108"/>
      <c r="AF13" s="108"/>
      <c r="AG13" s="108"/>
      <c r="AH13" s="108"/>
      <c r="AI13" s="108"/>
      <c r="AJ13" s="108"/>
      <c r="AK13" s="109"/>
      <c r="AL13" s="16">
        <v>0</v>
      </c>
    </row>
    <row r="14" spans="1:38" ht="40.15" customHeight="1">
      <c r="D14" s="6" t="s">
        <v>361</v>
      </c>
      <c r="E14" s="20">
        <v>114</v>
      </c>
      <c r="F14" s="7" t="s">
        <v>321</v>
      </c>
      <c r="G14" s="107" t="str">
        <f t="shared" si="0"/>
        <v>0x72</v>
      </c>
      <c r="H14" s="108"/>
      <c r="I14" s="108"/>
      <c r="J14" s="108"/>
      <c r="K14" s="108"/>
      <c r="L14" s="108"/>
      <c r="M14" s="109"/>
      <c r="N14" s="6">
        <v>0</v>
      </c>
      <c r="O14" s="107" t="s">
        <v>356</v>
      </c>
      <c r="P14" s="108"/>
      <c r="Q14" s="108"/>
      <c r="R14" s="108"/>
      <c r="S14" s="108"/>
      <c r="T14" s="108"/>
      <c r="U14" s="109"/>
      <c r="V14" s="108" t="s">
        <v>357</v>
      </c>
      <c r="W14" s="108"/>
      <c r="X14" s="108"/>
      <c r="Y14" s="108"/>
      <c r="Z14" s="108"/>
      <c r="AA14" s="108"/>
      <c r="AB14" s="108"/>
      <c r="AC14" s="108"/>
      <c r="AD14" s="108"/>
      <c r="AE14" s="108"/>
      <c r="AF14" s="108"/>
      <c r="AG14" s="108"/>
      <c r="AH14" s="108"/>
      <c r="AI14" s="108"/>
      <c r="AJ14" s="108"/>
      <c r="AK14" s="109"/>
      <c r="AL14" s="16">
        <v>0</v>
      </c>
    </row>
    <row r="15" spans="1:38" ht="40.15" customHeight="1">
      <c r="D15" s="6" t="s">
        <v>362</v>
      </c>
      <c r="E15" s="20">
        <v>115</v>
      </c>
      <c r="F15" s="7" t="s">
        <v>321</v>
      </c>
      <c r="G15" s="107" t="str">
        <f t="shared" si="0"/>
        <v>0x73</v>
      </c>
      <c r="H15" s="108"/>
      <c r="I15" s="108"/>
      <c r="J15" s="108"/>
      <c r="K15" s="108"/>
      <c r="L15" s="108"/>
      <c r="M15" s="109"/>
      <c r="N15" s="6">
        <v>0</v>
      </c>
      <c r="O15" s="107" t="s">
        <v>356</v>
      </c>
      <c r="P15" s="108"/>
      <c r="Q15" s="108"/>
      <c r="R15" s="108"/>
      <c r="S15" s="108"/>
      <c r="T15" s="108"/>
      <c r="U15" s="109"/>
      <c r="V15" s="108" t="s">
        <v>357</v>
      </c>
      <c r="W15" s="108"/>
      <c r="X15" s="108"/>
      <c r="Y15" s="108"/>
      <c r="Z15" s="108"/>
      <c r="AA15" s="108"/>
      <c r="AB15" s="108"/>
      <c r="AC15" s="108"/>
      <c r="AD15" s="108"/>
      <c r="AE15" s="108"/>
      <c r="AF15" s="108"/>
      <c r="AG15" s="108"/>
      <c r="AH15" s="108"/>
      <c r="AI15" s="108"/>
      <c r="AJ15" s="108"/>
      <c r="AK15" s="109"/>
      <c r="AL15" s="16">
        <v>0</v>
      </c>
    </row>
    <row r="16" spans="1:38" ht="40.15" customHeight="1">
      <c r="D16" s="6" t="s">
        <v>363</v>
      </c>
      <c r="E16" s="20">
        <v>116</v>
      </c>
      <c r="F16" s="7" t="s">
        <v>321</v>
      </c>
      <c r="G16" s="107" t="str">
        <f t="shared" si="0"/>
        <v>0x74</v>
      </c>
      <c r="H16" s="108"/>
      <c r="I16" s="108"/>
      <c r="J16" s="108"/>
      <c r="K16" s="108"/>
      <c r="L16" s="108"/>
      <c r="M16" s="109"/>
      <c r="N16" s="6">
        <v>0</v>
      </c>
      <c r="O16" s="107" t="s">
        <v>356</v>
      </c>
      <c r="P16" s="108"/>
      <c r="Q16" s="108"/>
      <c r="R16" s="108"/>
      <c r="S16" s="108"/>
      <c r="T16" s="108"/>
      <c r="U16" s="109"/>
      <c r="V16" s="108" t="s">
        <v>357</v>
      </c>
      <c r="W16" s="108"/>
      <c r="X16" s="108"/>
      <c r="Y16" s="108"/>
      <c r="Z16" s="108"/>
      <c r="AA16" s="108"/>
      <c r="AB16" s="108"/>
      <c r="AC16" s="108"/>
      <c r="AD16" s="108"/>
      <c r="AE16" s="108"/>
      <c r="AF16" s="108"/>
      <c r="AG16" s="108"/>
      <c r="AH16" s="108"/>
      <c r="AI16" s="108"/>
      <c r="AJ16" s="108"/>
      <c r="AK16" s="109"/>
      <c r="AL16" s="16">
        <v>0</v>
      </c>
    </row>
    <row r="17" spans="4:38" ht="40.15" customHeight="1">
      <c r="D17" s="6" t="s">
        <v>364</v>
      </c>
      <c r="E17" s="20">
        <v>117</v>
      </c>
      <c r="F17" s="7" t="s">
        <v>321</v>
      </c>
      <c r="G17" s="107" t="str">
        <f t="shared" si="0"/>
        <v>0x75</v>
      </c>
      <c r="H17" s="108"/>
      <c r="I17" s="108"/>
      <c r="J17" s="108"/>
      <c r="K17" s="108"/>
      <c r="L17" s="108"/>
      <c r="M17" s="109"/>
      <c r="N17" s="6">
        <v>0</v>
      </c>
      <c r="O17" s="107" t="s">
        <v>356</v>
      </c>
      <c r="P17" s="108"/>
      <c r="Q17" s="108"/>
      <c r="R17" s="108"/>
      <c r="S17" s="108"/>
      <c r="T17" s="108"/>
      <c r="U17" s="109"/>
      <c r="V17" s="108" t="s">
        <v>357</v>
      </c>
      <c r="W17" s="108"/>
      <c r="X17" s="108"/>
      <c r="Y17" s="108"/>
      <c r="Z17" s="108"/>
      <c r="AA17" s="108"/>
      <c r="AB17" s="108"/>
      <c r="AC17" s="108"/>
      <c r="AD17" s="108"/>
      <c r="AE17" s="108"/>
      <c r="AF17" s="108"/>
      <c r="AG17" s="108"/>
      <c r="AH17" s="108"/>
      <c r="AI17" s="108"/>
      <c r="AJ17" s="108"/>
      <c r="AK17" s="109"/>
      <c r="AL17" s="16">
        <v>0</v>
      </c>
    </row>
    <row r="18" spans="4:38" ht="40.15" customHeight="1">
      <c r="D18" s="6" t="s">
        <v>365</v>
      </c>
      <c r="E18" s="20">
        <v>118</v>
      </c>
      <c r="F18" s="7" t="s">
        <v>321</v>
      </c>
      <c r="G18" s="107" t="str">
        <f t="shared" si="0"/>
        <v>0x76</v>
      </c>
      <c r="H18" s="108"/>
      <c r="I18" s="108"/>
      <c r="J18" s="108"/>
      <c r="K18" s="108"/>
      <c r="L18" s="108"/>
      <c r="M18" s="109"/>
      <c r="N18" s="6">
        <v>0</v>
      </c>
      <c r="O18" s="107" t="s">
        <v>356</v>
      </c>
      <c r="P18" s="108"/>
      <c r="Q18" s="108"/>
      <c r="R18" s="108"/>
      <c r="S18" s="108"/>
      <c r="T18" s="108"/>
      <c r="U18" s="109"/>
      <c r="V18" s="108" t="s">
        <v>357</v>
      </c>
      <c r="W18" s="108"/>
      <c r="X18" s="108"/>
      <c r="Y18" s="108"/>
      <c r="Z18" s="108"/>
      <c r="AA18" s="108"/>
      <c r="AB18" s="108"/>
      <c r="AC18" s="108"/>
      <c r="AD18" s="108"/>
      <c r="AE18" s="108"/>
      <c r="AF18" s="108"/>
      <c r="AG18" s="108"/>
      <c r="AH18" s="108"/>
      <c r="AI18" s="108"/>
      <c r="AJ18" s="108"/>
      <c r="AK18" s="109"/>
      <c r="AL18" s="16">
        <v>0</v>
      </c>
    </row>
    <row r="19" spans="4:38" ht="40.15" customHeight="1">
      <c r="D19" s="6" t="s">
        <v>366</v>
      </c>
      <c r="E19" s="20">
        <v>119</v>
      </c>
      <c r="F19" s="7" t="s">
        <v>321</v>
      </c>
      <c r="G19" s="107" t="str">
        <f t="shared" si="0"/>
        <v>0x77</v>
      </c>
      <c r="H19" s="108"/>
      <c r="I19" s="108"/>
      <c r="J19" s="108"/>
      <c r="K19" s="108"/>
      <c r="L19" s="108"/>
      <c r="M19" s="109"/>
      <c r="N19" s="6">
        <v>0</v>
      </c>
      <c r="O19" s="107" t="s">
        <v>356</v>
      </c>
      <c r="P19" s="108"/>
      <c r="Q19" s="108"/>
      <c r="R19" s="108"/>
      <c r="S19" s="108"/>
      <c r="T19" s="108"/>
      <c r="U19" s="109"/>
      <c r="V19" s="108" t="s">
        <v>357</v>
      </c>
      <c r="W19" s="108"/>
      <c r="X19" s="108"/>
      <c r="Y19" s="108"/>
      <c r="Z19" s="108"/>
      <c r="AA19" s="108"/>
      <c r="AB19" s="108"/>
      <c r="AC19" s="108"/>
      <c r="AD19" s="108"/>
      <c r="AE19" s="108"/>
      <c r="AF19" s="108"/>
      <c r="AG19" s="108"/>
      <c r="AH19" s="108"/>
      <c r="AI19" s="108"/>
      <c r="AJ19" s="108"/>
      <c r="AK19" s="109"/>
      <c r="AL19" s="16">
        <v>0</v>
      </c>
    </row>
    <row r="20" spans="4:38" ht="40.15" customHeight="1">
      <c r="D20" s="6" t="s">
        <v>367</v>
      </c>
      <c r="E20" s="20">
        <v>120</v>
      </c>
      <c r="F20" s="7" t="s">
        <v>321</v>
      </c>
      <c r="G20" s="107" t="str">
        <f t="shared" si="0"/>
        <v>0x78</v>
      </c>
      <c r="H20" s="108"/>
      <c r="I20" s="108"/>
      <c r="J20" s="108"/>
      <c r="K20" s="108"/>
      <c r="L20" s="108"/>
      <c r="M20" s="109"/>
      <c r="N20" s="6">
        <v>0</v>
      </c>
      <c r="O20" s="107" t="s">
        <v>356</v>
      </c>
      <c r="P20" s="108"/>
      <c r="Q20" s="108"/>
      <c r="R20" s="108"/>
      <c r="S20" s="108"/>
      <c r="T20" s="108"/>
      <c r="U20" s="109"/>
      <c r="V20" s="108" t="s">
        <v>357</v>
      </c>
      <c r="W20" s="108"/>
      <c r="X20" s="108"/>
      <c r="Y20" s="108"/>
      <c r="Z20" s="108"/>
      <c r="AA20" s="108"/>
      <c r="AB20" s="108"/>
      <c r="AC20" s="108"/>
      <c r="AD20" s="108"/>
      <c r="AE20" s="108"/>
      <c r="AF20" s="108"/>
      <c r="AG20" s="108"/>
      <c r="AH20" s="108"/>
      <c r="AI20" s="108"/>
      <c r="AJ20" s="108"/>
      <c r="AK20" s="109"/>
      <c r="AL20" s="16">
        <v>0</v>
      </c>
    </row>
    <row r="21" spans="4:38" ht="40.15" customHeight="1">
      <c r="D21" s="6" t="s">
        <v>368</v>
      </c>
      <c r="E21" s="20">
        <v>121</v>
      </c>
      <c r="F21" s="7" t="s">
        <v>321</v>
      </c>
      <c r="G21" s="107" t="str">
        <f t="shared" si="0"/>
        <v>0x79</v>
      </c>
      <c r="H21" s="108"/>
      <c r="I21" s="108"/>
      <c r="J21" s="108"/>
      <c r="K21" s="108"/>
      <c r="L21" s="108"/>
      <c r="M21" s="109"/>
      <c r="N21" s="6">
        <v>0</v>
      </c>
      <c r="O21" s="107" t="s">
        <v>356</v>
      </c>
      <c r="P21" s="108"/>
      <c r="Q21" s="108"/>
      <c r="R21" s="108"/>
      <c r="S21" s="108"/>
      <c r="T21" s="108"/>
      <c r="U21" s="109"/>
      <c r="V21" s="108" t="s">
        <v>357</v>
      </c>
      <c r="W21" s="108"/>
      <c r="X21" s="108"/>
      <c r="Y21" s="108"/>
      <c r="Z21" s="108"/>
      <c r="AA21" s="108"/>
      <c r="AB21" s="108"/>
      <c r="AC21" s="108"/>
      <c r="AD21" s="108"/>
      <c r="AE21" s="108"/>
      <c r="AF21" s="108"/>
      <c r="AG21" s="108"/>
      <c r="AH21" s="108"/>
      <c r="AI21" s="108"/>
      <c r="AJ21" s="108"/>
      <c r="AK21" s="109"/>
      <c r="AL21" s="16">
        <v>0</v>
      </c>
    </row>
    <row r="22" spans="4:38" ht="40.15" customHeight="1">
      <c r="D22" s="6" t="s">
        <v>369</v>
      </c>
      <c r="E22" s="20">
        <v>122</v>
      </c>
      <c r="F22" s="7" t="s">
        <v>321</v>
      </c>
      <c r="G22" s="107" t="str">
        <f t="shared" si="0"/>
        <v>0x7A</v>
      </c>
      <c r="H22" s="108"/>
      <c r="I22" s="108"/>
      <c r="J22" s="108"/>
      <c r="K22" s="108"/>
      <c r="L22" s="108"/>
      <c r="M22" s="109"/>
      <c r="N22" s="6">
        <v>0</v>
      </c>
      <c r="O22" s="107" t="s">
        <v>356</v>
      </c>
      <c r="P22" s="108"/>
      <c r="Q22" s="108"/>
      <c r="R22" s="108"/>
      <c r="S22" s="108"/>
      <c r="T22" s="108"/>
      <c r="U22" s="109"/>
      <c r="V22" s="108" t="s">
        <v>357</v>
      </c>
      <c r="W22" s="108"/>
      <c r="X22" s="108"/>
      <c r="Y22" s="108"/>
      <c r="Z22" s="108"/>
      <c r="AA22" s="108"/>
      <c r="AB22" s="108"/>
      <c r="AC22" s="108"/>
      <c r="AD22" s="108"/>
      <c r="AE22" s="108"/>
      <c r="AF22" s="108"/>
      <c r="AG22" s="108"/>
      <c r="AH22" s="108"/>
      <c r="AI22" s="108"/>
      <c r="AJ22" s="108"/>
      <c r="AK22" s="109"/>
      <c r="AL22" s="16">
        <v>0</v>
      </c>
    </row>
    <row r="24" spans="4:38" ht="15" thickBot="1"/>
    <row r="25" spans="4:38" ht="49.9" customHeight="1" thickBot="1">
      <c r="D25" s="101" t="s">
        <v>392</v>
      </c>
      <c r="E25" s="102"/>
      <c r="F25" s="102"/>
      <c r="G25" s="102"/>
      <c r="H25" s="102"/>
      <c r="I25" s="102"/>
      <c r="J25" s="102"/>
      <c r="K25" s="102"/>
      <c r="L25" s="102"/>
      <c r="M25" s="102"/>
      <c r="N25" s="102"/>
      <c r="O25" s="102"/>
      <c r="P25" s="102"/>
      <c r="Q25" s="102"/>
      <c r="R25" s="102"/>
      <c r="S25" s="102"/>
      <c r="T25" s="102"/>
      <c r="U25" s="102"/>
      <c r="V25" s="102"/>
      <c r="W25" s="102"/>
      <c r="X25" s="102"/>
      <c r="Y25" s="102"/>
      <c r="Z25" s="102"/>
      <c r="AA25" s="102"/>
      <c r="AB25" s="102"/>
      <c r="AC25" s="102"/>
      <c r="AD25" s="102"/>
      <c r="AE25" s="102"/>
      <c r="AF25" s="102"/>
      <c r="AG25" s="102"/>
      <c r="AH25" s="102"/>
      <c r="AI25" s="102"/>
      <c r="AJ25" s="102"/>
      <c r="AK25" s="103"/>
    </row>
    <row r="26" spans="4:38">
      <c r="D26" s="88"/>
      <c r="E26" s="89" t="s">
        <v>41</v>
      </c>
      <c r="F26" s="90">
        <v>31</v>
      </c>
      <c r="G26" s="90">
        <v>30</v>
      </c>
      <c r="H26" s="90" t="s">
        <v>323</v>
      </c>
      <c r="I26" s="90" t="s">
        <v>324</v>
      </c>
      <c r="J26" s="90" t="s">
        <v>325</v>
      </c>
      <c r="K26" s="90" t="s">
        <v>326</v>
      </c>
      <c r="L26" s="90" t="s">
        <v>327</v>
      </c>
      <c r="M26" s="90" t="s">
        <v>328</v>
      </c>
      <c r="N26" s="88">
        <v>23</v>
      </c>
      <c r="O26" s="88">
        <v>22</v>
      </c>
      <c r="P26" s="88">
        <v>21</v>
      </c>
      <c r="Q26" s="88">
        <v>20</v>
      </c>
      <c r="R26" s="88">
        <v>19</v>
      </c>
      <c r="S26" s="88">
        <v>18</v>
      </c>
      <c r="T26" s="88">
        <v>17</v>
      </c>
      <c r="U26" s="88">
        <v>16</v>
      </c>
      <c r="V26" s="88">
        <v>15</v>
      </c>
      <c r="W26" s="88">
        <v>14</v>
      </c>
      <c r="X26" s="88">
        <v>13</v>
      </c>
      <c r="Y26" s="88">
        <v>12</v>
      </c>
      <c r="Z26" s="88">
        <v>11</v>
      </c>
      <c r="AA26" s="88">
        <v>10</v>
      </c>
      <c r="AB26" s="88">
        <v>9</v>
      </c>
      <c r="AC26" s="88">
        <v>8</v>
      </c>
      <c r="AD26" s="88">
        <v>7</v>
      </c>
      <c r="AE26" s="88">
        <v>6</v>
      </c>
      <c r="AF26" s="88">
        <v>5</v>
      </c>
      <c r="AG26" s="88">
        <v>4</v>
      </c>
      <c r="AH26" s="88">
        <v>3</v>
      </c>
      <c r="AI26" s="88">
        <v>2</v>
      </c>
      <c r="AJ26" s="88">
        <v>1</v>
      </c>
      <c r="AK26" s="88">
        <v>0</v>
      </c>
    </row>
    <row r="27" spans="4:38">
      <c r="D27" s="4" t="s">
        <v>39</v>
      </c>
      <c r="E27" s="18"/>
      <c r="F27" s="5" t="s">
        <v>9</v>
      </c>
      <c r="G27" s="104" t="s">
        <v>6</v>
      </c>
      <c r="H27" s="105"/>
      <c r="I27" s="105"/>
      <c r="J27" s="105"/>
      <c r="K27" s="105"/>
      <c r="L27" s="105"/>
      <c r="M27" s="106"/>
      <c r="N27" s="104" t="s">
        <v>7</v>
      </c>
      <c r="O27" s="105"/>
      <c r="P27" s="105"/>
      <c r="Q27" s="105"/>
      <c r="R27" s="105"/>
      <c r="S27" s="105"/>
      <c r="T27" s="105"/>
      <c r="U27" s="105"/>
      <c r="V27" s="105"/>
      <c r="W27" s="105"/>
      <c r="X27" s="105"/>
      <c r="Y27" s="105"/>
      <c r="Z27" s="105"/>
      <c r="AA27" s="105"/>
      <c r="AB27" s="105"/>
      <c r="AC27" s="105"/>
      <c r="AD27" s="105"/>
      <c r="AE27" s="105"/>
      <c r="AF27" s="105"/>
      <c r="AG27" s="105"/>
      <c r="AH27" s="105"/>
      <c r="AI27" s="105"/>
      <c r="AJ27" s="105"/>
      <c r="AK27" s="106"/>
    </row>
    <row r="28" spans="4:38" ht="60" customHeight="1">
      <c r="D28" s="6" t="s">
        <v>397</v>
      </c>
      <c r="E28" s="20">
        <v>123</v>
      </c>
      <c r="F28" s="7" t="s">
        <v>321</v>
      </c>
      <c r="G28" s="107" t="str">
        <f>"0x" &amp; DEC2HEX(E28,2)</f>
        <v>0x7B</v>
      </c>
      <c r="H28" s="108"/>
      <c r="I28" s="108"/>
      <c r="J28" s="108"/>
      <c r="K28" s="108"/>
      <c r="L28" s="108"/>
      <c r="M28" s="109"/>
      <c r="N28" s="8">
        <v>0</v>
      </c>
      <c r="O28" s="8">
        <v>0</v>
      </c>
      <c r="P28" s="8">
        <v>0</v>
      </c>
      <c r="Q28" s="8">
        <v>0</v>
      </c>
      <c r="R28" s="110" t="s">
        <v>393</v>
      </c>
      <c r="S28" s="111"/>
      <c r="T28" s="111"/>
      <c r="U28" s="111"/>
      <c r="V28" s="111"/>
      <c r="W28" s="111"/>
      <c r="X28" s="111"/>
      <c r="Y28" s="111"/>
      <c r="Z28" s="111"/>
      <c r="AA28" s="111"/>
      <c r="AB28" s="111"/>
      <c r="AC28" s="111"/>
      <c r="AD28" s="111"/>
      <c r="AE28" s="111"/>
      <c r="AF28" s="111"/>
      <c r="AG28" s="111"/>
      <c r="AH28" s="111"/>
      <c r="AI28" s="111"/>
      <c r="AJ28" s="111"/>
      <c r="AK28" s="112"/>
      <c r="AL28" s="87" t="s">
        <v>381</v>
      </c>
    </row>
    <row r="29" spans="4:38" ht="15" thickBot="1"/>
    <row r="30" spans="4:38" ht="49.9" customHeight="1" thickBot="1">
      <c r="D30" s="101" t="s">
        <v>349</v>
      </c>
      <c r="E30" s="102"/>
      <c r="F30" s="102"/>
      <c r="G30" s="102"/>
      <c r="H30" s="102"/>
      <c r="I30" s="102"/>
      <c r="J30" s="102"/>
      <c r="K30" s="102"/>
      <c r="L30" s="102"/>
      <c r="M30" s="102"/>
      <c r="N30" s="102"/>
      <c r="O30" s="102"/>
      <c r="P30" s="102"/>
      <c r="Q30" s="102"/>
      <c r="R30" s="102"/>
      <c r="S30" s="102"/>
      <c r="T30" s="102"/>
      <c r="U30" s="102"/>
      <c r="V30" s="102"/>
      <c r="W30" s="102"/>
      <c r="X30" s="102"/>
      <c r="Y30" s="102"/>
      <c r="Z30" s="102"/>
      <c r="AA30" s="102"/>
      <c r="AB30" s="102"/>
      <c r="AC30" s="102"/>
      <c r="AD30" s="102"/>
      <c r="AE30" s="102"/>
      <c r="AF30" s="102"/>
      <c r="AG30" s="102"/>
      <c r="AH30" s="102"/>
      <c r="AI30" s="102"/>
      <c r="AJ30" s="102"/>
      <c r="AK30" s="102"/>
      <c r="AL30" s="103"/>
    </row>
    <row r="31" spans="4:38">
      <c r="D31" s="88"/>
      <c r="E31" s="89" t="s">
        <v>41</v>
      </c>
      <c r="F31" s="90">
        <v>31</v>
      </c>
      <c r="G31" s="90">
        <v>30</v>
      </c>
      <c r="H31" s="90" t="s">
        <v>323</v>
      </c>
      <c r="I31" s="90" t="s">
        <v>324</v>
      </c>
      <c r="J31" s="90" t="s">
        <v>325</v>
      </c>
      <c r="K31" s="90" t="s">
        <v>326</v>
      </c>
      <c r="L31" s="90" t="s">
        <v>327</v>
      </c>
      <c r="M31" s="90" t="s">
        <v>328</v>
      </c>
      <c r="N31" s="88">
        <v>23</v>
      </c>
      <c r="O31" s="88">
        <v>22</v>
      </c>
      <c r="P31" s="88">
        <v>21</v>
      </c>
      <c r="Q31" s="88">
        <v>20</v>
      </c>
      <c r="R31" s="88">
        <v>19</v>
      </c>
      <c r="S31" s="88">
        <v>18</v>
      </c>
      <c r="T31" s="88">
        <v>17</v>
      </c>
      <c r="U31" s="88">
        <v>16</v>
      </c>
      <c r="V31" s="88">
        <v>15</v>
      </c>
      <c r="W31" s="88">
        <v>14</v>
      </c>
      <c r="X31" s="88">
        <v>13</v>
      </c>
      <c r="Y31" s="88">
        <v>12</v>
      </c>
      <c r="Z31" s="88">
        <v>11</v>
      </c>
      <c r="AA31" s="88">
        <v>10</v>
      </c>
      <c r="AB31" s="88">
        <v>9</v>
      </c>
      <c r="AC31" s="88">
        <v>8</v>
      </c>
      <c r="AD31" s="88">
        <v>7</v>
      </c>
      <c r="AE31" s="88">
        <v>6</v>
      </c>
      <c r="AF31" s="88">
        <v>5</v>
      </c>
      <c r="AG31" s="88">
        <v>4</v>
      </c>
      <c r="AH31" s="88">
        <v>3</v>
      </c>
      <c r="AI31" s="88">
        <v>2</v>
      </c>
      <c r="AJ31" s="88">
        <v>1</v>
      </c>
      <c r="AK31" s="88">
        <v>0</v>
      </c>
    </row>
    <row r="32" spans="4:38">
      <c r="D32" s="4" t="s">
        <v>39</v>
      </c>
      <c r="E32" s="18"/>
      <c r="F32" s="5" t="s">
        <v>9</v>
      </c>
      <c r="G32" s="104" t="s">
        <v>6</v>
      </c>
      <c r="H32" s="105"/>
      <c r="I32" s="105"/>
      <c r="J32" s="105"/>
      <c r="K32" s="105"/>
      <c r="L32" s="105"/>
      <c r="M32" s="106"/>
      <c r="N32" s="104" t="s">
        <v>7</v>
      </c>
      <c r="O32" s="105"/>
      <c r="P32" s="105"/>
      <c r="Q32" s="105"/>
      <c r="R32" s="105"/>
      <c r="S32" s="105"/>
      <c r="T32" s="105"/>
      <c r="U32" s="105"/>
      <c r="V32" s="105"/>
      <c r="W32" s="105"/>
      <c r="X32" s="105"/>
      <c r="Y32" s="105"/>
      <c r="Z32" s="105"/>
      <c r="AA32" s="105"/>
      <c r="AB32" s="105"/>
      <c r="AC32" s="105"/>
      <c r="AD32" s="105"/>
      <c r="AE32" s="105"/>
      <c r="AF32" s="105"/>
      <c r="AG32" s="105"/>
      <c r="AH32" s="105"/>
      <c r="AI32" s="105"/>
      <c r="AJ32" s="105"/>
      <c r="AK32" s="106"/>
    </row>
    <row r="33" spans="3:50" ht="60" customHeight="1">
      <c r="D33" s="6" t="s">
        <v>378</v>
      </c>
      <c r="E33" s="20">
        <v>124</v>
      </c>
      <c r="F33" s="7" t="s">
        <v>379</v>
      </c>
      <c r="G33" s="107" t="str">
        <f>"0x" &amp; DEC2HEX(E33,2)</f>
        <v>0x7C</v>
      </c>
      <c r="H33" s="108"/>
      <c r="I33" s="108"/>
      <c r="J33" s="108"/>
      <c r="K33" s="108"/>
      <c r="L33" s="108"/>
      <c r="M33" s="109"/>
      <c r="N33" s="107" t="s">
        <v>330</v>
      </c>
      <c r="O33" s="108"/>
      <c r="P33" s="108"/>
      <c r="Q33" s="108"/>
      <c r="R33" s="108"/>
      <c r="S33" s="108"/>
      <c r="T33" s="108"/>
      <c r="U33" s="108"/>
      <c r="V33" s="108"/>
      <c r="W33" s="108"/>
      <c r="X33" s="108"/>
      <c r="Y33" s="108"/>
      <c r="Z33" s="108"/>
      <c r="AA33" s="108"/>
      <c r="AB33" s="108"/>
      <c r="AC33" s="108"/>
      <c r="AD33" s="108"/>
      <c r="AE33" s="108"/>
      <c r="AF33" s="108"/>
      <c r="AG33" s="108"/>
      <c r="AH33" s="108"/>
      <c r="AI33" s="108"/>
      <c r="AJ33" s="109"/>
      <c r="AK33" s="87" t="s">
        <v>381</v>
      </c>
    </row>
    <row r="35" spans="3:50">
      <c r="D35" s="12"/>
      <c r="E35" s="17" t="s">
        <v>41</v>
      </c>
      <c r="F35" s="13">
        <v>31</v>
      </c>
      <c r="G35" s="13">
        <v>30</v>
      </c>
      <c r="H35" s="13" t="s">
        <v>323</v>
      </c>
      <c r="I35" s="13" t="s">
        <v>324</v>
      </c>
      <c r="J35" s="13" t="s">
        <v>325</v>
      </c>
      <c r="K35" s="13" t="s">
        <v>326</v>
      </c>
      <c r="L35" s="13" t="s">
        <v>327</v>
      </c>
      <c r="M35" s="13" t="s">
        <v>328</v>
      </c>
      <c r="N35" s="12">
        <v>23</v>
      </c>
      <c r="O35" s="12">
        <v>22</v>
      </c>
      <c r="P35" s="12">
        <v>21</v>
      </c>
      <c r="Q35" s="12">
        <v>20</v>
      </c>
      <c r="R35" s="12">
        <v>19</v>
      </c>
      <c r="S35" s="12">
        <v>18</v>
      </c>
      <c r="T35" s="12">
        <v>17</v>
      </c>
      <c r="U35" s="12">
        <v>16</v>
      </c>
      <c r="V35" s="12">
        <v>15</v>
      </c>
      <c r="W35" s="12">
        <v>14</v>
      </c>
      <c r="X35" s="12">
        <v>13</v>
      </c>
      <c r="Y35" s="12">
        <v>12</v>
      </c>
      <c r="Z35" s="12">
        <v>11</v>
      </c>
      <c r="AA35" s="12">
        <v>10</v>
      </c>
      <c r="AB35" s="12">
        <v>9</v>
      </c>
      <c r="AC35" s="12">
        <v>8</v>
      </c>
      <c r="AD35" s="12">
        <v>7</v>
      </c>
      <c r="AE35" s="12">
        <v>6</v>
      </c>
      <c r="AF35" s="12">
        <v>5</v>
      </c>
      <c r="AG35" s="12">
        <v>4</v>
      </c>
      <c r="AH35" s="12">
        <v>3</v>
      </c>
      <c r="AI35" s="12">
        <v>2</v>
      </c>
      <c r="AJ35" s="12">
        <v>1</v>
      </c>
      <c r="AK35" s="12">
        <v>0</v>
      </c>
      <c r="AL35" s="16"/>
    </row>
    <row r="36" spans="3:50" ht="15" thickBot="1">
      <c r="D36" s="4" t="s">
        <v>39</v>
      </c>
      <c r="E36" s="18"/>
      <c r="F36" s="5" t="s">
        <v>9</v>
      </c>
      <c r="G36" s="104" t="s">
        <v>6</v>
      </c>
      <c r="H36" s="105"/>
      <c r="I36" s="105"/>
      <c r="J36" s="105"/>
      <c r="K36" s="105"/>
      <c r="L36" s="105"/>
      <c r="M36" s="106"/>
      <c r="N36" s="104" t="s">
        <v>7</v>
      </c>
      <c r="O36" s="105"/>
      <c r="P36" s="105"/>
      <c r="Q36" s="105"/>
      <c r="R36" s="105"/>
      <c r="S36" s="105"/>
      <c r="T36" s="105"/>
      <c r="U36" s="105"/>
      <c r="V36" s="105"/>
      <c r="W36" s="105"/>
      <c r="X36" s="105"/>
      <c r="Y36" s="105"/>
      <c r="Z36" s="105"/>
      <c r="AA36" s="105"/>
      <c r="AB36" s="105"/>
      <c r="AC36" s="105"/>
      <c r="AD36" s="105"/>
      <c r="AE36" s="105"/>
      <c r="AF36" s="105"/>
      <c r="AG36" s="105"/>
      <c r="AH36" s="105"/>
      <c r="AI36" s="105"/>
      <c r="AJ36" s="105"/>
      <c r="AK36" s="106"/>
      <c r="AL36" s="16"/>
    </row>
    <row r="37" spans="3:50" ht="59.45" customHeight="1" thickBot="1">
      <c r="D37" s="6" t="s">
        <v>320</v>
      </c>
      <c r="E37" s="20">
        <v>125</v>
      </c>
      <c r="F37" s="7" t="s">
        <v>321</v>
      </c>
      <c r="G37" s="107" t="str">
        <f>"0x" &amp; DEC2HEX(E37,2)</f>
        <v>0x7D</v>
      </c>
      <c r="H37" s="108"/>
      <c r="I37" s="108"/>
      <c r="J37" s="108"/>
      <c r="K37" s="108"/>
      <c r="L37" s="108"/>
      <c r="M37" s="109"/>
      <c r="N37" s="107" t="s">
        <v>330</v>
      </c>
      <c r="O37" s="108"/>
      <c r="P37" s="108"/>
      <c r="Q37" s="108"/>
      <c r="R37" s="108"/>
      <c r="S37" s="108"/>
      <c r="T37" s="108"/>
      <c r="U37" s="109"/>
      <c r="V37" s="107" t="s">
        <v>329</v>
      </c>
      <c r="W37" s="108"/>
      <c r="X37" s="108"/>
      <c r="Y37" s="108"/>
      <c r="Z37" s="108"/>
      <c r="AA37" s="108"/>
      <c r="AB37" s="108"/>
      <c r="AC37" s="108"/>
      <c r="AD37" s="108"/>
      <c r="AE37" s="108"/>
      <c r="AF37" s="108"/>
      <c r="AG37" s="108"/>
      <c r="AH37" s="108"/>
      <c r="AI37" s="108"/>
      <c r="AJ37" s="108"/>
      <c r="AK37" s="109"/>
      <c r="AL37" s="16">
        <v>0</v>
      </c>
      <c r="AM37" s="135" t="s">
        <v>391</v>
      </c>
      <c r="AN37" s="136"/>
      <c r="AO37" s="136"/>
      <c r="AP37" s="136"/>
      <c r="AQ37" s="137"/>
      <c r="AT37" s="93" t="s">
        <v>351</v>
      </c>
      <c r="AV37" s="94" t="s">
        <v>352</v>
      </c>
      <c r="AW37" s="92"/>
      <c r="AX37" s="93" t="s">
        <v>353</v>
      </c>
    </row>
    <row r="38" spans="3:50" ht="52.9" customHeight="1">
      <c r="D38" s="6" t="s">
        <v>339</v>
      </c>
      <c r="E38" s="20"/>
      <c r="F38" s="116" t="s">
        <v>330</v>
      </c>
      <c r="G38" s="117"/>
      <c r="H38" s="117"/>
      <c r="I38" s="117"/>
      <c r="J38" s="117"/>
      <c r="K38" s="117"/>
      <c r="L38" s="117"/>
      <c r="M38" s="118"/>
      <c r="N38" s="124" t="s">
        <v>347</v>
      </c>
      <c r="O38" s="125"/>
      <c r="P38" s="125"/>
      <c r="Q38" s="125"/>
      <c r="R38" s="125"/>
      <c r="S38" s="125"/>
      <c r="T38" s="125"/>
      <c r="U38" s="125"/>
      <c r="V38" s="125"/>
      <c r="W38" s="125"/>
      <c r="X38" s="125"/>
      <c r="Y38" s="125"/>
      <c r="Z38" s="125"/>
      <c r="AA38" s="125"/>
      <c r="AB38" s="125"/>
      <c r="AC38" s="125"/>
      <c r="AD38" s="125"/>
      <c r="AE38" s="125"/>
      <c r="AF38" s="125"/>
      <c r="AG38" s="125"/>
      <c r="AH38" s="125"/>
      <c r="AI38" s="125"/>
      <c r="AJ38" s="125"/>
      <c r="AK38" s="126"/>
      <c r="AL38" s="16">
        <v>1</v>
      </c>
      <c r="AM38" s="138"/>
      <c r="AN38" s="139"/>
      <c r="AO38" s="139"/>
      <c r="AP38" s="139"/>
      <c r="AQ38" s="140"/>
      <c r="AT38" s="132" t="s">
        <v>370</v>
      </c>
      <c r="AV38" s="132" t="s">
        <v>371</v>
      </c>
      <c r="AX38" s="132" t="s">
        <v>354</v>
      </c>
    </row>
    <row r="39" spans="3:50" ht="41.45" customHeight="1">
      <c r="C39" s="122" t="s">
        <v>348</v>
      </c>
      <c r="D39" s="113" t="s">
        <v>343</v>
      </c>
      <c r="E39" s="86"/>
      <c r="F39" s="116" t="s">
        <v>330</v>
      </c>
      <c r="G39" s="117"/>
      <c r="H39" s="117"/>
      <c r="I39" s="117"/>
      <c r="J39" s="117"/>
      <c r="K39" s="117"/>
      <c r="L39" s="117"/>
      <c r="M39" s="118"/>
      <c r="N39" s="116" t="s">
        <v>382</v>
      </c>
      <c r="O39" s="117"/>
      <c r="P39" s="117"/>
      <c r="Q39" s="117"/>
      <c r="R39" s="117"/>
      <c r="S39" s="117"/>
      <c r="T39" s="117"/>
      <c r="U39" s="118"/>
      <c r="V39" s="116" t="s">
        <v>383</v>
      </c>
      <c r="W39" s="117"/>
      <c r="X39" s="117"/>
      <c r="Y39" s="117"/>
      <c r="Z39" s="117"/>
      <c r="AA39" s="117"/>
      <c r="AB39" s="117"/>
      <c r="AC39" s="118"/>
      <c r="AD39" s="116" t="s">
        <v>384</v>
      </c>
      <c r="AE39" s="117"/>
      <c r="AF39" s="117"/>
      <c r="AG39" s="117"/>
      <c r="AH39" s="117"/>
      <c r="AI39" s="117"/>
      <c r="AJ39" s="117"/>
      <c r="AK39" s="118"/>
      <c r="AL39" s="16">
        <v>2</v>
      </c>
      <c r="AM39" s="138"/>
      <c r="AN39" s="139"/>
      <c r="AO39" s="139"/>
      <c r="AP39" s="139"/>
      <c r="AQ39" s="140"/>
      <c r="AT39" s="133"/>
      <c r="AV39" s="133"/>
      <c r="AX39" s="144"/>
    </row>
    <row r="40" spans="3:50" ht="41.45" customHeight="1">
      <c r="C40" s="123"/>
      <c r="D40" s="130"/>
      <c r="E40" s="86"/>
      <c r="F40" s="116" t="s">
        <v>330</v>
      </c>
      <c r="G40" s="117"/>
      <c r="H40" s="117"/>
      <c r="I40" s="117"/>
      <c r="J40" s="117"/>
      <c r="K40" s="117"/>
      <c r="L40" s="117"/>
      <c r="M40" s="118"/>
      <c r="N40" s="116" t="s">
        <v>333</v>
      </c>
      <c r="O40" s="117"/>
      <c r="P40" s="117"/>
      <c r="Q40" s="117"/>
      <c r="R40" s="117"/>
      <c r="S40" s="117"/>
      <c r="T40" s="117"/>
      <c r="U40" s="118"/>
      <c r="V40" s="116" t="s">
        <v>332</v>
      </c>
      <c r="W40" s="117"/>
      <c r="X40" s="117"/>
      <c r="Y40" s="117"/>
      <c r="Z40" s="117"/>
      <c r="AA40" s="117"/>
      <c r="AB40" s="117"/>
      <c r="AC40" s="118"/>
      <c r="AD40" s="116" t="s">
        <v>331</v>
      </c>
      <c r="AE40" s="117"/>
      <c r="AF40" s="117"/>
      <c r="AG40" s="117"/>
      <c r="AH40" s="117"/>
      <c r="AI40" s="117"/>
      <c r="AJ40" s="117"/>
      <c r="AK40" s="118"/>
      <c r="AL40" s="16">
        <v>3</v>
      </c>
      <c r="AM40" s="138"/>
      <c r="AN40" s="139"/>
      <c r="AO40" s="139"/>
      <c r="AP40" s="139"/>
      <c r="AQ40" s="140"/>
      <c r="AT40" s="133"/>
      <c r="AV40" s="133"/>
      <c r="AX40" s="144"/>
    </row>
    <row r="41" spans="3:50" ht="41.45" customHeight="1">
      <c r="C41" s="123"/>
      <c r="D41" s="130"/>
      <c r="E41" s="86"/>
      <c r="F41" s="116" t="s">
        <v>330</v>
      </c>
      <c r="G41" s="117"/>
      <c r="H41" s="117"/>
      <c r="I41" s="117"/>
      <c r="J41" s="117"/>
      <c r="K41" s="117"/>
      <c r="L41" s="117"/>
      <c r="M41" s="118"/>
      <c r="N41" s="116" t="s">
        <v>336</v>
      </c>
      <c r="O41" s="117"/>
      <c r="P41" s="117"/>
      <c r="Q41" s="117"/>
      <c r="R41" s="117"/>
      <c r="S41" s="117"/>
      <c r="T41" s="117"/>
      <c r="U41" s="118"/>
      <c r="V41" s="116" t="s">
        <v>335</v>
      </c>
      <c r="W41" s="117"/>
      <c r="X41" s="117"/>
      <c r="Y41" s="117"/>
      <c r="Z41" s="117"/>
      <c r="AA41" s="117"/>
      <c r="AB41" s="117"/>
      <c r="AC41" s="118"/>
      <c r="AD41" s="116" t="s">
        <v>334</v>
      </c>
      <c r="AE41" s="117"/>
      <c r="AF41" s="117"/>
      <c r="AG41" s="117"/>
      <c r="AH41" s="117"/>
      <c r="AI41" s="117"/>
      <c r="AJ41" s="117"/>
      <c r="AK41" s="118"/>
      <c r="AL41" s="16">
        <v>4</v>
      </c>
      <c r="AM41" s="138"/>
      <c r="AN41" s="139"/>
      <c r="AO41" s="139"/>
      <c r="AP41" s="139"/>
      <c r="AQ41" s="140"/>
      <c r="AT41" s="133"/>
      <c r="AV41" s="133"/>
      <c r="AX41" s="144"/>
    </row>
    <row r="42" spans="3:50" ht="45">
      <c r="C42" s="123"/>
      <c r="D42" s="130"/>
      <c r="E42" s="119" t="s">
        <v>337</v>
      </c>
      <c r="F42" s="120"/>
      <c r="G42" s="120"/>
      <c r="H42" s="120"/>
      <c r="I42" s="120"/>
      <c r="J42" s="120"/>
      <c r="K42" s="120"/>
      <c r="L42" s="120"/>
      <c r="M42" s="120"/>
      <c r="N42" s="120"/>
      <c r="O42" s="120"/>
      <c r="P42" s="120"/>
      <c r="Q42" s="120"/>
      <c r="R42" s="120"/>
      <c r="S42" s="120"/>
      <c r="T42" s="120"/>
      <c r="U42" s="120"/>
      <c r="V42" s="120"/>
      <c r="W42" s="120"/>
      <c r="X42" s="120"/>
      <c r="Y42" s="120"/>
      <c r="Z42" s="120"/>
      <c r="AA42" s="120"/>
      <c r="AB42" s="120"/>
      <c r="AC42" s="120"/>
      <c r="AD42" s="120"/>
      <c r="AE42" s="120"/>
      <c r="AF42" s="120"/>
      <c r="AG42" s="120"/>
      <c r="AH42" s="120"/>
      <c r="AI42" s="120"/>
      <c r="AJ42" s="120"/>
      <c r="AK42" s="121"/>
      <c r="AL42" s="16"/>
      <c r="AM42" s="141"/>
      <c r="AN42" s="142"/>
      <c r="AO42" s="142"/>
      <c r="AP42" s="142"/>
      <c r="AQ42" s="143"/>
      <c r="AT42" s="133"/>
      <c r="AV42" s="133"/>
      <c r="AX42" s="144"/>
    </row>
    <row r="43" spans="3:50" ht="41.45" customHeight="1" thickBot="1">
      <c r="C43" s="123"/>
      <c r="D43" s="130"/>
      <c r="E43" s="86"/>
      <c r="F43" s="116" t="s">
        <v>330</v>
      </c>
      <c r="G43" s="117"/>
      <c r="H43" s="117"/>
      <c r="I43" s="117"/>
      <c r="J43" s="117"/>
      <c r="K43" s="117"/>
      <c r="L43" s="117"/>
      <c r="M43" s="118"/>
      <c r="N43" s="116" t="s">
        <v>372</v>
      </c>
      <c r="O43" s="117"/>
      <c r="P43" s="117"/>
      <c r="Q43" s="117"/>
      <c r="R43" s="117"/>
      <c r="S43" s="117"/>
      <c r="T43" s="117"/>
      <c r="U43" s="118"/>
      <c r="V43" s="116" t="s">
        <v>374</v>
      </c>
      <c r="W43" s="117"/>
      <c r="X43" s="117"/>
      <c r="Y43" s="117"/>
      <c r="Z43" s="117"/>
      <c r="AA43" s="117"/>
      <c r="AB43" s="117"/>
      <c r="AC43" s="118"/>
      <c r="AD43" s="116" t="s">
        <v>375</v>
      </c>
      <c r="AE43" s="117"/>
      <c r="AF43" s="117"/>
      <c r="AG43" s="117"/>
      <c r="AH43" s="117"/>
      <c r="AI43" s="117"/>
      <c r="AJ43" s="117"/>
      <c r="AK43" s="118"/>
      <c r="AL43" s="16">
        <v>14</v>
      </c>
      <c r="AT43" s="134"/>
      <c r="AV43" s="133"/>
      <c r="AX43" s="144"/>
    </row>
    <row r="44" spans="3:50" ht="41.45" customHeight="1">
      <c r="C44" s="123"/>
      <c r="D44" s="131"/>
      <c r="E44" s="86"/>
      <c r="F44" s="116" t="s">
        <v>330</v>
      </c>
      <c r="G44" s="117"/>
      <c r="H44" s="117"/>
      <c r="I44" s="117"/>
      <c r="J44" s="117"/>
      <c r="K44" s="117"/>
      <c r="L44" s="117"/>
      <c r="M44" s="118"/>
      <c r="N44" s="116" t="s">
        <v>373</v>
      </c>
      <c r="O44" s="117"/>
      <c r="P44" s="117"/>
      <c r="Q44" s="117"/>
      <c r="R44" s="117"/>
      <c r="S44" s="117"/>
      <c r="T44" s="117"/>
      <c r="U44" s="118"/>
      <c r="V44" s="116" t="s">
        <v>377</v>
      </c>
      <c r="W44" s="117"/>
      <c r="X44" s="117"/>
      <c r="Y44" s="117"/>
      <c r="Z44" s="117"/>
      <c r="AA44" s="117"/>
      <c r="AB44" s="117"/>
      <c r="AC44" s="118"/>
      <c r="AD44" s="116" t="s">
        <v>376</v>
      </c>
      <c r="AE44" s="117"/>
      <c r="AF44" s="117"/>
      <c r="AG44" s="117"/>
      <c r="AH44" s="117"/>
      <c r="AI44" s="117"/>
      <c r="AJ44" s="117"/>
      <c r="AK44" s="118"/>
      <c r="AL44" s="16">
        <v>15</v>
      </c>
      <c r="AM44" s="122" t="s">
        <v>344</v>
      </c>
      <c r="AN44" s="123"/>
      <c r="AO44" s="123"/>
      <c r="AP44" s="123"/>
      <c r="AQ44" s="123"/>
      <c r="AV44" s="133"/>
      <c r="AX44" s="144"/>
    </row>
    <row r="45" spans="3:50" ht="52.9" customHeight="1" thickBot="1">
      <c r="C45" s="123"/>
      <c r="D45" s="127"/>
      <c r="E45" s="119" t="s">
        <v>337</v>
      </c>
      <c r="F45" s="120"/>
      <c r="G45" s="120"/>
      <c r="H45" s="120"/>
      <c r="I45" s="120"/>
      <c r="J45" s="120"/>
      <c r="K45" s="120"/>
      <c r="L45" s="120"/>
      <c r="M45" s="120"/>
      <c r="N45" s="120"/>
      <c r="O45" s="120"/>
      <c r="P45" s="120"/>
      <c r="Q45" s="120"/>
      <c r="R45" s="120"/>
      <c r="S45" s="120"/>
      <c r="T45" s="120"/>
      <c r="U45" s="120"/>
      <c r="V45" s="120"/>
      <c r="W45" s="120"/>
      <c r="X45" s="120"/>
      <c r="Y45" s="120"/>
      <c r="Z45" s="120"/>
      <c r="AA45" s="120"/>
      <c r="AB45" s="120"/>
      <c r="AC45" s="120"/>
      <c r="AD45" s="120"/>
      <c r="AE45" s="120"/>
      <c r="AF45" s="120"/>
      <c r="AG45" s="120"/>
      <c r="AH45" s="120"/>
      <c r="AI45" s="120"/>
      <c r="AJ45" s="120"/>
      <c r="AK45" s="121"/>
      <c r="AL45" s="16"/>
      <c r="AM45" s="122" t="s">
        <v>345</v>
      </c>
      <c r="AN45" s="122"/>
      <c r="AO45" s="122"/>
      <c r="AP45" s="122"/>
      <c r="AQ45" s="122"/>
      <c r="AV45" s="134"/>
      <c r="AX45" s="145"/>
    </row>
    <row r="46" spans="3:50" ht="41.45" customHeight="1">
      <c r="C46" s="123"/>
      <c r="D46" s="128"/>
      <c r="E46" s="86"/>
      <c r="F46" s="116" t="s">
        <v>330</v>
      </c>
      <c r="G46" s="117"/>
      <c r="H46" s="117"/>
      <c r="I46" s="117"/>
      <c r="J46" s="117"/>
      <c r="K46" s="117"/>
      <c r="L46" s="117"/>
      <c r="M46" s="118"/>
      <c r="N46" s="116" t="s">
        <v>385</v>
      </c>
      <c r="O46" s="117"/>
      <c r="P46" s="117"/>
      <c r="Q46" s="117"/>
      <c r="R46" s="117"/>
      <c r="S46" s="117"/>
      <c r="T46" s="117"/>
      <c r="U46" s="118"/>
      <c r="V46" s="116" t="s">
        <v>386</v>
      </c>
      <c r="W46" s="117"/>
      <c r="X46" s="117"/>
      <c r="Y46" s="117"/>
      <c r="Z46" s="117"/>
      <c r="AA46" s="117"/>
      <c r="AB46" s="117"/>
      <c r="AC46" s="118"/>
      <c r="AD46" s="116" t="s">
        <v>387</v>
      </c>
      <c r="AE46" s="117"/>
      <c r="AF46" s="117"/>
      <c r="AG46" s="117"/>
      <c r="AH46" s="117"/>
      <c r="AI46" s="117"/>
      <c r="AJ46" s="117"/>
      <c r="AK46" s="118"/>
      <c r="AL46" s="16">
        <v>176</v>
      </c>
      <c r="AM46" s="122"/>
      <c r="AN46" s="122"/>
      <c r="AO46" s="122"/>
      <c r="AP46" s="122"/>
      <c r="AQ46" s="122"/>
    </row>
    <row r="47" spans="3:50" ht="41.45" customHeight="1">
      <c r="C47" s="123"/>
      <c r="D47" s="129"/>
      <c r="E47" s="86"/>
      <c r="F47" s="116" t="s">
        <v>330</v>
      </c>
      <c r="G47" s="117"/>
      <c r="H47" s="117"/>
      <c r="I47" s="117"/>
      <c r="J47" s="117"/>
      <c r="K47" s="117"/>
      <c r="L47" s="117"/>
      <c r="M47" s="118"/>
      <c r="N47" s="116" t="s">
        <v>390</v>
      </c>
      <c r="O47" s="117"/>
      <c r="P47" s="117"/>
      <c r="Q47" s="117"/>
      <c r="R47" s="117"/>
      <c r="S47" s="117"/>
      <c r="T47" s="117"/>
      <c r="U47" s="118"/>
      <c r="V47" s="116" t="s">
        <v>389</v>
      </c>
      <c r="W47" s="117"/>
      <c r="X47" s="117"/>
      <c r="Y47" s="117"/>
      <c r="Z47" s="117"/>
      <c r="AA47" s="117"/>
      <c r="AB47" s="117"/>
      <c r="AC47" s="118"/>
      <c r="AD47" s="116" t="s">
        <v>388</v>
      </c>
      <c r="AE47" s="117"/>
      <c r="AF47" s="117"/>
      <c r="AG47" s="117"/>
      <c r="AH47" s="117"/>
      <c r="AI47" s="117"/>
      <c r="AJ47" s="117"/>
      <c r="AK47" s="118"/>
      <c r="AL47" s="16">
        <v>177</v>
      </c>
      <c r="AM47" s="122"/>
      <c r="AN47" s="122"/>
      <c r="AO47" s="122"/>
      <c r="AP47" s="122"/>
      <c r="AQ47" s="122"/>
    </row>
    <row r="52" spans="4:38" ht="15" thickBot="1"/>
    <row r="53" spans="4:38" ht="49.9" customHeight="1" thickBot="1">
      <c r="D53" s="101" t="s">
        <v>350</v>
      </c>
      <c r="E53" s="102"/>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2"/>
      <c r="AG53" s="102"/>
      <c r="AH53" s="102"/>
      <c r="AI53" s="102"/>
      <c r="AJ53" s="102"/>
      <c r="AK53" s="103"/>
    </row>
    <row r="54" spans="4:38">
      <c r="D54" s="88"/>
      <c r="E54" s="89" t="s">
        <v>41</v>
      </c>
      <c r="F54" s="90">
        <v>31</v>
      </c>
      <c r="G54" s="90">
        <v>30</v>
      </c>
      <c r="H54" s="90" t="s">
        <v>323</v>
      </c>
      <c r="I54" s="90" t="s">
        <v>324</v>
      </c>
      <c r="J54" s="90" t="s">
        <v>325</v>
      </c>
      <c r="K54" s="90" t="s">
        <v>326</v>
      </c>
      <c r="L54" s="90" t="s">
        <v>327</v>
      </c>
      <c r="M54" s="90" t="s">
        <v>328</v>
      </c>
      <c r="N54" s="88">
        <v>23</v>
      </c>
      <c r="O54" s="88">
        <v>22</v>
      </c>
      <c r="P54" s="88">
        <v>21</v>
      </c>
      <c r="Q54" s="88">
        <v>20</v>
      </c>
      <c r="R54" s="88">
        <v>19</v>
      </c>
      <c r="S54" s="88">
        <v>18</v>
      </c>
      <c r="T54" s="88">
        <v>17</v>
      </c>
      <c r="U54" s="88">
        <v>16</v>
      </c>
      <c r="V54" s="88">
        <v>15</v>
      </c>
      <c r="W54" s="88">
        <v>14</v>
      </c>
      <c r="X54" s="88">
        <v>13</v>
      </c>
      <c r="Y54" s="88">
        <v>12</v>
      </c>
      <c r="Z54" s="88">
        <v>11</v>
      </c>
      <c r="AA54" s="88">
        <v>10</v>
      </c>
      <c r="AB54" s="88">
        <v>9</v>
      </c>
      <c r="AC54" s="88">
        <v>8</v>
      </c>
      <c r="AD54" s="88">
        <v>7</v>
      </c>
      <c r="AE54" s="88">
        <v>6</v>
      </c>
      <c r="AF54" s="88">
        <v>5</v>
      </c>
      <c r="AG54" s="88">
        <v>4</v>
      </c>
      <c r="AH54" s="88">
        <v>3</v>
      </c>
      <c r="AI54" s="88">
        <v>2</v>
      </c>
      <c r="AJ54" s="88">
        <v>1</v>
      </c>
      <c r="AK54" s="88">
        <v>0</v>
      </c>
    </row>
    <row r="55" spans="4:38">
      <c r="D55" s="4" t="s">
        <v>39</v>
      </c>
      <c r="E55" s="18"/>
      <c r="F55" s="5" t="s">
        <v>9</v>
      </c>
      <c r="G55" s="104" t="s">
        <v>6</v>
      </c>
      <c r="H55" s="105"/>
      <c r="I55" s="105"/>
      <c r="J55" s="105"/>
      <c r="K55" s="105"/>
      <c r="L55" s="105"/>
      <c r="M55" s="106"/>
      <c r="N55" s="104" t="s">
        <v>7</v>
      </c>
      <c r="O55" s="105"/>
      <c r="P55" s="105"/>
      <c r="Q55" s="105"/>
      <c r="R55" s="105"/>
      <c r="S55" s="105"/>
      <c r="T55" s="105"/>
      <c r="U55" s="105"/>
      <c r="V55" s="105"/>
      <c r="W55" s="105"/>
      <c r="X55" s="105"/>
      <c r="Y55" s="105"/>
      <c r="Z55" s="105"/>
      <c r="AA55" s="105"/>
      <c r="AB55" s="105"/>
      <c r="AC55" s="105"/>
      <c r="AD55" s="105"/>
      <c r="AE55" s="105"/>
      <c r="AF55" s="105"/>
      <c r="AG55" s="105"/>
      <c r="AH55" s="105"/>
      <c r="AI55" s="105"/>
      <c r="AJ55" s="105"/>
      <c r="AK55" s="106"/>
    </row>
    <row r="56" spans="4:38" ht="60" customHeight="1">
      <c r="D56" s="6" t="s">
        <v>380</v>
      </c>
      <c r="E56" s="20">
        <v>126</v>
      </c>
      <c r="F56" s="7" t="s">
        <v>321</v>
      </c>
      <c r="G56" s="107" t="str">
        <f>"0x" &amp; DEC2HEX(E56,2)</f>
        <v>0x7E</v>
      </c>
      <c r="H56" s="108"/>
      <c r="I56" s="108"/>
      <c r="J56" s="108"/>
      <c r="K56" s="108"/>
      <c r="L56" s="108"/>
      <c r="M56" s="109"/>
      <c r="N56" s="107" t="s">
        <v>330</v>
      </c>
      <c r="O56" s="108"/>
      <c r="P56" s="108"/>
      <c r="Q56" s="108"/>
      <c r="R56" s="108"/>
      <c r="S56" s="108"/>
      <c r="T56" s="108"/>
      <c r="U56" s="108"/>
      <c r="V56" s="108"/>
      <c r="W56" s="108"/>
      <c r="X56" s="108"/>
      <c r="Y56" s="108"/>
      <c r="Z56" s="108"/>
      <c r="AA56" s="108"/>
      <c r="AB56" s="108"/>
      <c r="AC56" s="108"/>
      <c r="AD56" s="108"/>
      <c r="AE56" s="108"/>
      <c r="AF56" s="108"/>
      <c r="AG56" s="108"/>
      <c r="AH56" s="108"/>
      <c r="AI56" s="108"/>
      <c r="AJ56" s="109"/>
      <c r="AK56" s="87" t="s">
        <v>381</v>
      </c>
    </row>
    <row r="57" spans="4:38" ht="40.15" customHeight="1"/>
    <row r="58" spans="4:38">
      <c r="D58" s="12"/>
      <c r="E58" s="17" t="s">
        <v>41</v>
      </c>
      <c r="F58" s="13">
        <v>31</v>
      </c>
      <c r="G58" s="13">
        <v>30</v>
      </c>
      <c r="H58" s="13" t="s">
        <v>323</v>
      </c>
      <c r="I58" s="13" t="s">
        <v>324</v>
      </c>
      <c r="J58" s="13" t="s">
        <v>325</v>
      </c>
      <c r="K58" s="13" t="s">
        <v>326</v>
      </c>
      <c r="L58" s="13" t="s">
        <v>327</v>
      </c>
      <c r="M58" s="13" t="s">
        <v>328</v>
      </c>
      <c r="N58" s="12">
        <v>23</v>
      </c>
      <c r="O58" s="12">
        <v>22</v>
      </c>
      <c r="P58" s="12">
        <v>21</v>
      </c>
      <c r="Q58" s="12">
        <v>20</v>
      </c>
      <c r="R58" s="12">
        <v>19</v>
      </c>
      <c r="S58" s="12">
        <v>18</v>
      </c>
      <c r="T58" s="12">
        <v>17</v>
      </c>
      <c r="U58" s="12">
        <v>16</v>
      </c>
      <c r="V58" s="12">
        <v>15</v>
      </c>
      <c r="W58" s="12">
        <v>14</v>
      </c>
      <c r="X58" s="12">
        <v>13</v>
      </c>
      <c r="Y58" s="12">
        <v>12</v>
      </c>
      <c r="Z58" s="12">
        <v>11</v>
      </c>
      <c r="AA58" s="12">
        <v>10</v>
      </c>
      <c r="AB58" s="12">
        <v>9</v>
      </c>
      <c r="AC58" s="12">
        <v>8</v>
      </c>
      <c r="AD58" s="12">
        <v>7</v>
      </c>
      <c r="AE58" s="12">
        <v>6</v>
      </c>
      <c r="AF58" s="12">
        <v>5</v>
      </c>
      <c r="AG58" s="12">
        <v>4</v>
      </c>
      <c r="AH58" s="12">
        <v>3</v>
      </c>
      <c r="AI58" s="12">
        <v>2</v>
      </c>
      <c r="AJ58" s="12">
        <v>1</v>
      </c>
      <c r="AK58" s="12">
        <v>0</v>
      </c>
    </row>
    <row r="59" spans="4:38">
      <c r="D59" s="4" t="s">
        <v>39</v>
      </c>
      <c r="E59" s="18"/>
      <c r="F59" s="5" t="s">
        <v>9</v>
      </c>
      <c r="G59" s="104" t="s">
        <v>6</v>
      </c>
      <c r="H59" s="105"/>
      <c r="I59" s="105"/>
      <c r="J59" s="105"/>
      <c r="K59" s="105"/>
      <c r="L59" s="105"/>
      <c r="M59" s="106"/>
      <c r="N59" s="104" t="s">
        <v>7</v>
      </c>
      <c r="O59" s="105"/>
      <c r="P59" s="105"/>
      <c r="Q59" s="105"/>
      <c r="R59" s="105"/>
      <c r="S59" s="105"/>
      <c r="T59" s="105"/>
      <c r="U59" s="105"/>
      <c r="V59" s="105"/>
      <c r="W59" s="105"/>
      <c r="X59" s="105"/>
      <c r="Y59" s="105"/>
      <c r="Z59" s="105"/>
      <c r="AA59" s="105"/>
      <c r="AB59" s="105"/>
      <c r="AC59" s="105"/>
      <c r="AD59" s="105"/>
      <c r="AE59" s="105"/>
      <c r="AF59" s="105"/>
      <c r="AG59" s="105"/>
      <c r="AH59" s="105"/>
      <c r="AI59" s="105"/>
      <c r="AJ59" s="105"/>
      <c r="AK59" s="106"/>
    </row>
    <row r="60" spans="4:38" ht="40.15" customHeight="1">
      <c r="D60" s="6" t="s">
        <v>338</v>
      </c>
      <c r="E60" s="20">
        <v>127</v>
      </c>
      <c r="F60" s="7" t="s">
        <v>322</v>
      </c>
      <c r="G60" s="107" t="str">
        <f>"0x" &amp; DEC2HEX(E60,2)</f>
        <v>0x7F</v>
      </c>
      <c r="H60" s="108"/>
      <c r="I60" s="108"/>
      <c r="J60" s="108"/>
      <c r="K60" s="108"/>
      <c r="L60" s="108"/>
      <c r="M60" s="109"/>
      <c r="N60" s="107" t="s">
        <v>330</v>
      </c>
      <c r="O60" s="108"/>
      <c r="P60" s="108"/>
      <c r="Q60" s="108"/>
      <c r="R60" s="108"/>
      <c r="S60" s="108"/>
      <c r="T60" s="108"/>
      <c r="U60" s="109"/>
      <c r="V60" s="107" t="s">
        <v>342</v>
      </c>
      <c r="W60" s="108"/>
      <c r="X60" s="108"/>
      <c r="Y60" s="108"/>
      <c r="Z60" s="108"/>
      <c r="AA60" s="108"/>
      <c r="AB60" s="108"/>
      <c r="AC60" s="108"/>
      <c r="AD60" s="108"/>
      <c r="AE60" s="108"/>
      <c r="AF60" s="108"/>
      <c r="AG60" s="108"/>
      <c r="AH60" s="108"/>
      <c r="AI60" s="108"/>
      <c r="AJ60" s="108"/>
      <c r="AK60" s="109"/>
      <c r="AL60" s="16">
        <v>0</v>
      </c>
    </row>
    <row r="61" spans="4:38" ht="40.15" customHeight="1">
      <c r="D61" s="6" t="s">
        <v>340</v>
      </c>
      <c r="E61" s="20"/>
      <c r="F61" s="116" t="s">
        <v>330</v>
      </c>
      <c r="G61" s="117"/>
      <c r="H61" s="117"/>
      <c r="I61" s="117"/>
      <c r="J61" s="117"/>
      <c r="K61" s="117"/>
      <c r="L61" s="117"/>
      <c r="M61" s="118"/>
      <c r="N61" s="116" t="s">
        <v>341</v>
      </c>
      <c r="O61" s="117"/>
      <c r="P61" s="117"/>
      <c r="Q61" s="117"/>
      <c r="R61" s="117"/>
      <c r="S61" s="117"/>
      <c r="T61" s="117"/>
      <c r="U61" s="117"/>
      <c r="V61" s="117"/>
      <c r="W61" s="117"/>
      <c r="X61" s="117"/>
      <c r="Y61" s="117"/>
      <c r="Z61" s="117"/>
      <c r="AA61" s="117"/>
      <c r="AB61" s="117"/>
      <c r="AC61" s="117"/>
      <c r="AD61" s="117"/>
      <c r="AE61" s="117"/>
      <c r="AF61" s="117"/>
      <c r="AG61" s="117"/>
      <c r="AH61" s="117"/>
      <c r="AI61" s="117"/>
      <c r="AJ61" s="117"/>
      <c r="AK61" s="118"/>
      <c r="AL61" s="16">
        <v>1</v>
      </c>
    </row>
    <row r="62" spans="4:38" ht="40.15" customHeight="1">
      <c r="D62" s="113" t="s">
        <v>343</v>
      </c>
      <c r="E62" s="86"/>
      <c r="F62" s="116" t="s">
        <v>330</v>
      </c>
      <c r="G62" s="117"/>
      <c r="H62" s="117"/>
      <c r="I62" s="117"/>
      <c r="J62" s="117"/>
      <c r="K62" s="117"/>
      <c r="L62" s="117"/>
      <c r="M62" s="118"/>
      <c r="N62" s="116" t="s">
        <v>382</v>
      </c>
      <c r="O62" s="117"/>
      <c r="P62" s="117"/>
      <c r="Q62" s="117"/>
      <c r="R62" s="117"/>
      <c r="S62" s="117"/>
      <c r="T62" s="117"/>
      <c r="U62" s="118"/>
      <c r="V62" s="116" t="s">
        <v>383</v>
      </c>
      <c r="W62" s="117"/>
      <c r="X62" s="117"/>
      <c r="Y62" s="117"/>
      <c r="Z62" s="117"/>
      <c r="AA62" s="117"/>
      <c r="AB62" s="117"/>
      <c r="AC62" s="118"/>
      <c r="AD62" s="116" t="s">
        <v>384</v>
      </c>
      <c r="AE62" s="117"/>
      <c r="AF62" s="117"/>
      <c r="AG62" s="117"/>
      <c r="AH62" s="117"/>
      <c r="AI62" s="117"/>
      <c r="AJ62" s="117"/>
      <c r="AK62" s="118"/>
      <c r="AL62" s="16">
        <v>2</v>
      </c>
    </row>
    <row r="63" spans="4:38" ht="40.15" customHeight="1">
      <c r="D63" s="114"/>
      <c r="E63" s="86"/>
      <c r="F63" s="116" t="s">
        <v>330</v>
      </c>
      <c r="G63" s="117"/>
      <c r="H63" s="117"/>
      <c r="I63" s="117"/>
      <c r="J63" s="117"/>
      <c r="K63" s="117"/>
      <c r="L63" s="117"/>
      <c r="M63" s="118"/>
      <c r="N63" s="116" t="s">
        <v>333</v>
      </c>
      <c r="O63" s="117"/>
      <c r="P63" s="117"/>
      <c r="Q63" s="117"/>
      <c r="R63" s="117"/>
      <c r="S63" s="117"/>
      <c r="T63" s="117"/>
      <c r="U63" s="118"/>
      <c r="V63" s="116" t="s">
        <v>332</v>
      </c>
      <c r="W63" s="117"/>
      <c r="X63" s="117"/>
      <c r="Y63" s="117"/>
      <c r="Z63" s="117"/>
      <c r="AA63" s="117"/>
      <c r="AB63" s="117"/>
      <c r="AC63" s="118"/>
      <c r="AD63" s="116" t="s">
        <v>331</v>
      </c>
      <c r="AE63" s="117"/>
      <c r="AF63" s="117"/>
      <c r="AG63" s="117"/>
      <c r="AH63" s="117"/>
      <c r="AI63" s="117"/>
      <c r="AJ63" s="117"/>
      <c r="AK63" s="118"/>
      <c r="AL63" s="16">
        <v>3</v>
      </c>
    </row>
    <row r="64" spans="4:38" ht="40.15" customHeight="1">
      <c r="D64" s="114"/>
      <c r="E64" s="86"/>
      <c r="F64" s="116" t="s">
        <v>330</v>
      </c>
      <c r="G64" s="117"/>
      <c r="H64" s="117"/>
      <c r="I64" s="117"/>
      <c r="J64" s="117"/>
      <c r="K64" s="117"/>
      <c r="L64" s="117"/>
      <c r="M64" s="118"/>
      <c r="N64" s="116" t="s">
        <v>336</v>
      </c>
      <c r="O64" s="117"/>
      <c r="P64" s="117"/>
      <c r="Q64" s="117"/>
      <c r="R64" s="117"/>
      <c r="S64" s="117"/>
      <c r="T64" s="117"/>
      <c r="U64" s="118"/>
      <c r="V64" s="116" t="s">
        <v>335</v>
      </c>
      <c r="W64" s="117"/>
      <c r="X64" s="117"/>
      <c r="Y64" s="117"/>
      <c r="Z64" s="117"/>
      <c r="AA64" s="117"/>
      <c r="AB64" s="117"/>
      <c r="AC64" s="118"/>
      <c r="AD64" s="116" t="s">
        <v>334</v>
      </c>
      <c r="AE64" s="117"/>
      <c r="AF64" s="117"/>
      <c r="AG64" s="117"/>
      <c r="AH64" s="117"/>
      <c r="AI64" s="117"/>
      <c r="AJ64" s="117"/>
      <c r="AK64" s="118"/>
      <c r="AL64" s="16">
        <v>4</v>
      </c>
    </row>
    <row r="65" spans="4:38" ht="40.15" customHeight="1">
      <c r="D65" s="114"/>
      <c r="E65" s="119" t="s">
        <v>337</v>
      </c>
      <c r="F65" s="120"/>
      <c r="G65" s="120"/>
      <c r="H65" s="120"/>
      <c r="I65" s="120"/>
      <c r="J65" s="120"/>
      <c r="K65" s="120"/>
      <c r="L65" s="120"/>
      <c r="M65" s="120"/>
      <c r="N65" s="120"/>
      <c r="O65" s="120"/>
      <c r="P65" s="120"/>
      <c r="Q65" s="120"/>
      <c r="R65" s="120"/>
      <c r="S65" s="120"/>
      <c r="T65" s="120"/>
      <c r="U65" s="120"/>
      <c r="V65" s="120"/>
      <c r="W65" s="120"/>
      <c r="X65" s="120"/>
      <c r="Y65" s="120"/>
      <c r="Z65" s="120"/>
      <c r="AA65" s="120"/>
      <c r="AB65" s="120"/>
      <c r="AC65" s="120"/>
      <c r="AD65" s="120"/>
      <c r="AE65" s="120"/>
      <c r="AF65" s="120"/>
      <c r="AG65" s="120"/>
      <c r="AH65" s="120"/>
      <c r="AI65" s="120"/>
      <c r="AJ65" s="120"/>
      <c r="AK65" s="121"/>
      <c r="AL65" s="16"/>
    </row>
    <row r="66" spans="4:38" ht="40.15" customHeight="1">
      <c r="D66" s="114"/>
      <c r="E66" s="86"/>
      <c r="F66" s="116" t="s">
        <v>330</v>
      </c>
      <c r="G66" s="117"/>
      <c r="H66" s="117"/>
      <c r="I66" s="117"/>
      <c r="J66" s="117"/>
      <c r="K66" s="117"/>
      <c r="L66" s="117"/>
      <c r="M66" s="118"/>
      <c r="N66" s="116" t="s">
        <v>372</v>
      </c>
      <c r="O66" s="117"/>
      <c r="P66" s="117"/>
      <c r="Q66" s="117"/>
      <c r="R66" s="117"/>
      <c r="S66" s="117"/>
      <c r="T66" s="117"/>
      <c r="U66" s="118"/>
      <c r="V66" s="116" t="s">
        <v>374</v>
      </c>
      <c r="W66" s="117"/>
      <c r="X66" s="117"/>
      <c r="Y66" s="117"/>
      <c r="Z66" s="117"/>
      <c r="AA66" s="117"/>
      <c r="AB66" s="117"/>
      <c r="AC66" s="118"/>
      <c r="AD66" s="116" t="s">
        <v>375</v>
      </c>
      <c r="AE66" s="117"/>
      <c r="AF66" s="117"/>
      <c r="AG66" s="117"/>
      <c r="AH66" s="117"/>
      <c r="AI66" s="117"/>
      <c r="AJ66" s="117"/>
      <c r="AK66" s="118"/>
      <c r="AL66" s="16">
        <v>14</v>
      </c>
    </row>
    <row r="67" spans="4:38" ht="40.15" customHeight="1">
      <c r="D67" s="115"/>
      <c r="E67" s="86"/>
      <c r="F67" s="116" t="s">
        <v>330</v>
      </c>
      <c r="G67" s="117"/>
      <c r="H67" s="117"/>
      <c r="I67" s="117"/>
      <c r="J67" s="117"/>
      <c r="K67" s="117"/>
      <c r="L67" s="117"/>
      <c r="M67" s="118"/>
      <c r="N67" s="116" t="s">
        <v>373</v>
      </c>
      <c r="O67" s="117"/>
      <c r="P67" s="117"/>
      <c r="Q67" s="117"/>
      <c r="R67" s="117"/>
      <c r="S67" s="117"/>
      <c r="T67" s="117"/>
      <c r="U67" s="118"/>
      <c r="V67" s="116" t="s">
        <v>377</v>
      </c>
      <c r="W67" s="117"/>
      <c r="X67" s="117"/>
      <c r="Y67" s="117"/>
      <c r="Z67" s="117"/>
      <c r="AA67" s="117"/>
      <c r="AB67" s="117"/>
      <c r="AC67" s="118"/>
      <c r="AD67" s="116" t="s">
        <v>376</v>
      </c>
      <c r="AE67" s="117"/>
      <c r="AF67" s="117"/>
      <c r="AG67" s="117"/>
      <c r="AH67" s="117"/>
      <c r="AI67" s="117"/>
      <c r="AJ67" s="117"/>
      <c r="AK67" s="118"/>
      <c r="AL67" s="16">
        <v>15</v>
      </c>
    </row>
    <row r="68" spans="4:38" ht="40.15" customHeight="1">
      <c r="D68" s="127"/>
      <c r="E68" s="119" t="s">
        <v>337</v>
      </c>
      <c r="F68" s="120"/>
      <c r="G68" s="120"/>
      <c r="H68" s="120"/>
      <c r="I68" s="120"/>
      <c r="J68" s="120"/>
      <c r="K68" s="120"/>
      <c r="L68" s="120"/>
      <c r="M68" s="120"/>
      <c r="N68" s="120"/>
      <c r="O68" s="120"/>
      <c r="P68" s="120"/>
      <c r="Q68" s="120"/>
      <c r="R68" s="120"/>
      <c r="S68" s="120"/>
      <c r="T68" s="120"/>
      <c r="U68" s="120"/>
      <c r="V68" s="120"/>
      <c r="W68" s="120"/>
      <c r="X68" s="120"/>
      <c r="Y68" s="120"/>
      <c r="Z68" s="120"/>
      <c r="AA68" s="120"/>
      <c r="AB68" s="120"/>
      <c r="AC68" s="120"/>
      <c r="AD68" s="120"/>
      <c r="AE68" s="120"/>
      <c r="AF68" s="120"/>
      <c r="AG68" s="120"/>
      <c r="AH68" s="120"/>
      <c r="AI68" s="120"/>
      <c r="AJ68" s="120"/>
      <c r="AK68" s="121"/>
      <c r="AL68" s="16"/>
    </row>
    <row r="69" spans="4:38" ht="40.15" customHeight="1">
      <c r="D69" s="128"/>
      <c r="E69" s="86"/>
      <c r="F69" s="116" t="s">
        <v>330</v>
      </c>
      <c r="G69" s="117"/>
      <c r="H69" s="117"/>
      <c r="I69" s="117"/>
      <c r="J69" s="117"/>
      <c r="K69" s="117"/>
      <c r="L69" s="117"/>
      <c r="M69" s="118"/>
      <c r="N69" s="116" t="s">
        <v>385</v>
      </c>
      <c r="O69" s="117"/>
      <c r="P69" s="117"/>
      <c r="Q69" s="117"/>
      <c r="R69" s="117"/>
      <c r="S69" s="117"/>
      <c r="T69" s="117"/>
      <c r="U69" s="118"/>
      <c r="V69" s="116" t="s">
        <v>386</v>
      </c>
      <c r="W69" s="117"/>
      <c r="X69" s="117"/>
      <c r="Y69" s="117"/>
      <c r="Z69" s="117"/>
      <c r="AA69" s="117"/>
      <c r="AB69" s="117"/>
      <c r="AC69" s="118"/>
      <c r="AD69" s="116" t="s">
        <v>387</v>
      </c>
      <c r="AE69" s="117"/>
      <c r="AF69" s="117"/>
      <c r="AG69" s="117"/>
      <c r="AH69" s="117"/>
      <c r="AI69" s="117"/>
      <c r="AJ69" s="117"/>
      <c r="AK69" s="118"/>
      <c r="AL69" s="16">
        <v>176</v>
      </c>
    </row>
    <row r="70" spans="4:38" ht="40.15" customHeight="1">
      <c r="D70" s="129"/>
      <c r="E70" s="86"/>
      <c r="F70" s="116" t="s">
        <v>330</v>
      </c>
      <c r="G70" s="117"/>
      <c r="H70" s="117"/>
      <c r="I70" s="117"/>
      <c r="J70" s="117"/>
      <c r="K70" s="117"/>
      <c r="L70" s="117"/>
      <c r="M70" s="118"/>
      <c r="N70" s="116" t="s">
        <v>390</v>
      </c>
      <c r="O70" s="117"/>
      <c r="P70" s="117"/>
      <c r="Q70" s="117"/>
      <c r="R70" s="117"/>
      <c r="S70" s="117"/>
      <c r="T70" s="117"/>
      <c r="U70" s="118"/>
      <c r="V70" s="116" t="s">
        <v>389</v>
      </c>
      <c r="W70" s="117"/>
      <c r="X70" s="117"/>
      <c r="Y70" s="117"/>
      <c r="Z70" s="117"/>
      <c r="AA70" s="117"/>
      <c r="AB70" s="117"/>
      <c r="AC70" s="118"/>
      <c r="AD70" s="116" t="s">
        <v>388</v>
      </c>
      <c r="AE70" s="117"/>
      <c r="AF70" s="117"/>
      <c r="AG70" s="117"/>
      <c r="AH70" s="117"/>
      <c r="AI70" s="117"/>
      <c r="AJ70" s="117"/>
      <c r="AK70" s="118"/>
      <c r="AL70" s="16">
        <v>177</v>
      </c>
    </row>
  </sheetData>
  <mergeCells count="144">
    <mergeCell ref="N32:AK32"/>
    <mergeCell ref="G33:M33"/>
    <mergeCell ref="D25:AK25"/>
    <mergeCell ref="G27:M27"/>
    <mergeCell ref="N27:AK27"/>
    <mergeCell ref="G28:M28"/>
    <mergeCell ref="G21:M21"/>
    <mergeCell ref="O21:U21"/>
    <mergeCell ref="V21:AK21"/>
    <mergeCell ref="G22:M22"/>
    <mergeCell ref="O22:U22"/>
    <mergeCell ref="V22:AK22"/>
    <mergeCell ref="G19:M19"/>
    <mergeCell ref="O19:U19"/>
    <mergeCell ref="V19:AK19"/>
    <mergeCell ref="G20:M20"/>
    <mergeCell ref="O20:U20"/>
    <mergeCell ref="V20:AK20"/>
    <mergeCell ref="G17:M17"/>
    <mergeCell ref="O17:U17"/>
    <mergeCell ref="V17:AK17"/>
    <mergeCell ref="G18:M18"/>
    <mergeCell ref="O18:U18"/>
    <mergeCell ref="V18:AK18"/>
    <mergeCell ref="G15:M15"/>
    <mergeCell ref="O15:U15"/>
    <mergeCell ref="V15:AK15"/>
    <mergeCell ref="G16:M16"/>
    <mergeCell ref="O16:U16"/>
    <mergeCell ref="V16:AK16"/>
    <mergeCell ref="D8:AL8"/>
    <mergeCell ref="N10:AK10"/>
    <mergeCell ref="V11:AK11"/>
    <mergeCell ref="O11:U11"/>
    <mergeCell ref="AV38:AV45"/>
    <mergeCell ref="AX38:AX45"/>
    <mergeCell ref="G10:M10"/>
    <mergeCell ref="O12:U12"/>
    <mergeCell ref="V12:AK12"/>
    <mergeCell ref="G13:M13"/>
    <mergeCell ref="O13:U13"/>
    <mergeCell ref="V13:AK13"/>
    <mergeCell ref="G14:M14"/>
    <mergeCell ref="O14:U14"/>
    <mergeCell ref="V14:AK14"/>
    <mergeCell ref="AM45:AQ47"/>
    <mergeCell ref="G11:M11"/>
    <mergeCell ref="G12:M12"/>
    <mergeCell ref="AM44:AQ44"/>
    <mergeCell ref="N37:U37"/>
    <mergeCell ref="F38:M38"/>
    <mergeCell ref="F39:M39"/>
    <mergeCell ref="N39:U39"/>
    <mergeCell ref="V39:AC39"/>
    <mergeCell ref="AD39:AK39"/>
    <mergeCell ref="G36:M36"/>
    <mergeCell ref="G37:M37"/>
    <mergeCell ref="G32:M32"/>
    <mergeCell ref="E68:AK68"/>
    <mergeCell ref="D68:D70"/>
    <mergeCell ref="D30:AL30"/>
    <mergeCell ref="D53:AK53"/>
    <mergeCell ref="AT38:AT43"/>
    <mergeCell ref="AD70:AK70"/>
    <mergeCell ref="V70:AC70"/>
    <mergeCell ref="N70:U70"/>
    <mergeCell ref="F70:M70"/>
    <mergeCell ref="AD69:AK69"/>
    <mergeCell ref="V69:AC69"/>
    <mergeCell ref="N69:U69"/>
    <mergeCell ref="F69:M69"/>
    <mergeCell ref="N60:U60"/>
    <mergeCell ref="V44:AC44"/>
    <mergeCell ref="G60:M60"/>
    <mergeCell ref="N56:AJ56"/>
    <mergeCell ref="AM37:AQ42"/>
    <mergeCell ref="V60:AK60"/>
    <mergeCell ref="G59:M59"/>
    <mergeCell ref="N59:AK59"/>
    <mergeCell ref="F47:M47"/>
    <mergeCell ref="N47:U47"/>
    <mergeCell ref="V47:AC47"/>
    <mergeCell ref="C39:C47"/>
    <mergeCell ref="F67:M67"/>
    <mergeCell ref="N66:U66"/>
    <mergeCell ref="F66:M66"/>
    <mergeCell ref="G55:M55"/>
    <mergeCell ref="N55:AK55"/>
    <mergeCell ref="N38:AK38"/>
    <mergeCell ref="V37:AK37"/>
    <mergeCell ref="N36:AK36"/>
    <mergeCell ref="D45:D47"/>
    <mergeCell ref="G56:M56"/>
    <mergeCell ref="D39:D44"/>
    <mergeCell ref="E42:AK42"/>
    <mergeCell ref="E45:AK45"/>
    <mergeCell ref="F46:M46"/>
    <mergeCell ref="N46:U46"/>
    <mergeCell ref="V46:AC46"/>
    <mergeCell ref="AD46:AK46"/>
    <mergeCell ref="F43:M43"/>
    <mergeCell ref="N43:U43"/>
    <mergeCell ref="V43:AC43"/>
    <mergeCell ref="AD43:AK43"/>
    <mergeCell ref="F44:M44"/>
    <mergeCell ref="N44:U44"/>
    <mergeCell ref="AD64:AK64"/>
    <mergeCell ref="E65:AK65"/>
    <mergeCell ref="AD47:AK47"/>
    <mergeCell ref="AD44:AK44"/>
    <mergeCell ref="F40:M40"/>
    <mergeCell ref="N40:U40"/>
    <mergeCell ref="V40:AC40"/>
    <mergeCell ref="AD40:AK40"/>
    <mergeCell ref="F41:M41"/>
    <mergeCell ref="F61:M61"/>
    <mergeCell ref="N61:AK61"/>
    <mergeCell ref="N41:U41"/>
    <mergeCell ref="V41:AC41"/>
    <mergeCell ref="AD41:AK41"/>
    <mergeCell ref="D3:AK3"/>
    <mergeCell ref="G5:M5"/>
    <mergeCell ref="N5:AK5"/>
    <mergeCell ref="G6:M6"/>
    <mergeCell ref="N6:AK6"/>
    <mergeCell ref="R28:AK28"/>
    <mergeCell ref="N33:AJ33"/>
    <mergeCell ref="D62:D67"/>
    <mergeCell ref="F62:M62"/>
    <mergeCell ref="N62:U62"/>
    <mergeCell ref="V62:AC62"/>
    <mergeCell ref="AD62:AK62"/>
    <mergeCell ref="F63:M63"/>
    <mergeCell ref="N63:U63"/>
    <mergeCell ref="V63:AC63"/>
    <mergeCell ref="AD66:AK66"/>
    <mergeCell ref="V66:AC66"/>
    <mergeCell ref="N67:U67"/>
    <mergeCell ref="V67:AC67"/>
    <mergeCell ref="AD67:AK67"/>
    <mergeCell ref="AD63:AK63"/>
    <mergeCell ref="F64:M64"/>
    <mergeCell ref="N64:U64"/>
    <mergeCell ref="V64:AC64"/>
  </mergeCells>
  <phoneticPr fontId="1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3FE83-8F64-4FCD-9F1F-3130D1CF2600}">
  <dimension ref="D4:J27"/>
  <sheetViews>
    <sheetView topLeftCell="E1" zoomScale="85" zoomScaleNormal="85" workbookViewId="0">
      <selection activeCell="I31" sqref="I31"/>
    </sheetView>
  </sheetViews>
  <sheetFormatPr defaultRowHeight="14.25"/>
  <cols>
    <col min="4" max="4" width="25.5" customWidth="1"/>
    <col min="5" max="5" width="13.125" customWidth="1"/>
    <col min="6" max="6" width="38" style="2" customWidth="1"/>
    <col min="7" max="7" width="15.125" style="1" customWidth="1"/>
    <col min="8" max="8" width="41.5" style="19" customWidth="1"/>
    <col min="9" max="9" width="54" customWidth="1"/>
    <col min="10" max="10" width="26.875" customWidth="1"/>
  </cols>
  <sheetData>
    <row r="4" spans="4:10" ht="15" thickBot="1"/>
    <row r="5" spans="4:10" ht="15.75" thickBot="1">
      <c r="D5" s="79"/>
      <c r="E5" s="72" t="s">
        <v>235</v>
      </c>
      <c r="F5" s="72" t="s">
        <v>236</v>
      </c>
      <c r="G5" s="72" t="s">
        <v>237</v>
      </c>
      <c r="H5" s="72" t="s">
        <v>238</v>
      </c>
      <c r="I5" s="80" t="s">
        <v>71</v>
      </c>
      <c r="J5" s="72" t="s">
        <v>307</v>
      </c>
    </row>
    <row r="6" spans="4:10" ht="15" thickBot="1">
      <c r="D6" s="146" t="s">
        <v>301</v>
      </c>
      <c r="E6" s="73">
        <v>1</v>
      </c>
      <c r="F6" s="74" t="s">
        <v>239</v>
      </c>
      <c r="G6" s="74" t="s">
        <v>240</v>
      </c>
      <c r="H6" s="74" t="s">
        <v>241</v>
      </c>
      <c r="I6" s="78" t="s">
        <v>242</v>
      </c>
      <c r="J6" s="74"/>
    </row>
    <row r="7" spans="4:10" ht="15" thickBot="1">
      <c r="D7" s="147"/>
      <c r="E7" s="73">
        <v>2</v>
      </c>
      <c r="F7" s="74" t="s">
        <v>243</v>
      </c>
      <c r="G7" s="74" t="s">
        <v>240</v>
      </c>
      <c r="H7" s="74" t="s">
        <v>241</v>
      </c>
      <c r="I7" s="78" t="s">
        <v>244</v>
      </c>
      <c r="J7" s="74"/>
    </row>
    <row r="8" spans="4:10" ht="15" thickBot="1">
      <c r="D8" s="147"/>
      <c r="E8" s="73">
        <v>3</v>
      </c>
      <c r="F8" s="74" t="s">
        <v>245</v>
      </c>
      <c r="G8" s="74" t="s">
        <v>240</v>
      </c>
      <c r="H8" s="74" t="s">
        <v>241</v>
      </c>
      <c r="I8" s="78" t="s">
        <v>246</v>
      </c>
      <c r="J8" s="74"/>
    </row>
    <row r="9" spans="4:10" ht="15" thickBot="1">
      <c r="D9" s="147"/>
      <c r="E9" s="73">
        <v>4</v>
      </c>
      <c r="F9" s="74" t="s">
        <v>247</v>
      </c>
      <c r="G9" s="74" t="s">
        <v>240</v>
      </c>
      <c r="H9" s="74" t="s">
        <v>241</v>
      </c>
      <c r="I9" s="78" t="s">
        <v>248</v>
      </c>
      <c r="J9" s="74"/>
    </row>
    <row r="10" spans="4:10" ht="15" thickBot="1">
      <c r="D10" s="147"/>
      <c r="E10" s="73">
        <v>5</v>
      </c>
      <c r="F10" s="74" t="s">
        <v>249</v>
      </c>
      <c r="G10" s="74" t="s">
        <v>250</v>
      </c>
      <c r="H10" s="74" t="s">
        <v>241</v>
      </c>
      <c r="I10" s="78" t="s">
        <v>251</v>
      </c>
      <c r="J10" s="74"/>
    </row>
    <row r="11" spans="4:10" ht="15" thickBot="1">
      <c r="D11" s="147"/>
      <c r="E11" s="73">
        <v>6</v>
      </c>
      <c r="F11" s="74" t="s">
        <v>252</v>
      </c>
      <c r="G11" s="74" t="s">
        <v>250</v>
      </c>
      <c r="H11" s="74" t="s">
        <v>241</v>
      </c>
      <c r="I11" s="78" t="s">
        <v>253</v>
      </c>
      <c r="J11" s="74"/>
    </row>
    <row r="12" spans="4:10" ht="15" thickBot="1">
      <c r="D12" s="147"/>
      <c r="E12" s="73">
        <v>7</v>
      </c>
      <c r="F12" s="74" t="s">
        <v>254</v>
      </c>
      <c r="G12" s="74" t="s">
        <v>240</v>
      </c>
      <c r="H12" s="74" t="s">
        <v>241</v>
      </c>
      <c r="I12" s="78" t="s">
        <v>255</v>
      </c>
      <c r="J12" s="74"/>
    </row>
    <row r="13" spans="4:10" ht="15" thickBot="1">
      <c r="D13" s="147"/>
      <c r="E13" s="73">
        <v>8</v>
      </c>
      <c r="F13" s="74" t="s">
        <v>256</v>
      </c>
      <c r="G13" s="74" t="s">
        <v>240</v>
      </c>
      <c r="H13" s="74" t="s">
        <v>241</v>
      </c>
      <c r="I13" s="78" t="s">
        <v>257</v>
      </c>
      <c r="J13" s="74"/>
    </row>
    <row r="14" spans="4:10" ht="15" thickBot="1">
      <c r="D14" s="147"/>
      <c r="E14" s="73">
        <v>9</v>
      </c>
      <c r="F14" s="74" t="s">
        <v>258</v>
      </c>
      <c r="G14" s="74" t="s">
        <v>240</v>
      </c>
      <c r="H14" s="74" t="s">
        <v>241</v>
      </c>
      <c r="I14" s="78" t="s">
        <v>259</v>
      </c>
      <c r="J14" s="74"/>
    </row>
    <row r="15" spans="4:10" ht="15" thickBot="1">
      <c r="D15" s="147"/>
      <c r="E15" s="73">
        <v>10</v>
      </c>
      <c r="F15" s="74" t="s">
        <v>260</v>
      </c>
      <c r="G15" s="74" t="s">
        <v>240</v>
      </c>
      <c r="H15" s="74" t="s">
        <v>241</v>
      </c>
      <c r="I15" s="78" t="s">
        <v>261</v>
      </c>
      <c r="J15" s="74"/>
    </row>
    <row r="16" spans="4:10" ht="15" thickBot="1">
      <c r="D16" s="147"/>
      <c r="E16" s="73">
        <v>11</v>
      </c>
      <c r="F16" s="74" t="s">
        <v>262</v>
      </c>
      <c r="G16" s="74" t="s">
        <v>250</v>
      </c>
      <c r="H16" s="74" t="s">
        <v>241</v>
      </c>
      <c r="I16" s="78" t="s">
        <v>263</v>
      </c>
      <c r="J16" s="74"/>
    </row>
    <row r="17" spans="4:10" ht="15" thickBot="1">
      <c r="D17" s="148"/>
      <c r="E17" s="73">
        <v>12</v>
      </c>
      <c r="F17" s="74" t="s">
        <v>264</v>
      </c>
      <c r="G17" s="74" t="s">
        <v>250</v>
      </c>
      <c r="H17" s="74" t="s">
        <v>241</v>
      </c>
      <c r="I17" s="78" t="s">
        <v>265</v>
      </c>
      <c r="J17" s="74"/>
    </row>
    <row r="18" spans="4:10" ht="15" thickBot="1">
      <c r="D18" s="146" t="s">
        <v>266</v>
      </c>
      <c r="E18" s="73">
        <v>13</v>
      </c>
      <c r="F18" s="74" t="s">
        <v>267</v>
      </c>
      <c r="G18" s="74" t="s">
        <v>250</v>
      </c>
      <c r="H18" s="74" t="s">
        <v>241</v>
      </c>
      <c r="I18" s="78" t="s">
        <v>268</v>
      </c>
      <c r="J18" s="74"/>
    </row>
    <row r="19" spans="4:10" ht="15" thickBot="1">
      <c r="D19" s="149"/>
      <c r="E19" s="73">
        <v>14</v>
      </c>
      <c r="F19" s="74" t="s">
        <v>269</v>
      </c>
      <c r="G19" s="74" t="s">
        <v>250</v>
      </c>
      <c r="H19" s="74" t="s">
        <v>241</v>
      </c>
      <c r="I19" s="78" t="s">
        <v>270</v>
      </c>
      <c r="J19" s="74"/>
    </row>
    <row r="20" spans="4:10" ht="15" thickBot="1">
      <c r="D20" s="149"/>
      <c r="E20" s="73">
        <v>15</v>
      </c>
      <c r="F20" s="74" t="s">
        <v>287</v>
      </c>
      <c r="G20" s="74" t="s">
        <v>271</v>
      </c>
      <c r="H20" s="74" t="s">
        <v>241</v>
      </c>
      <c r="I20" s="78" t="s">
        <v>272</v>
      </c>
      <c r="J20" s="74"/>
    </row>
    <row r="21" spans="4:10" ht="15" thickBot="1">
      <c r="D21" s="149"/>
      <c r="E21" s="73">
        <v>16</v>
      </c>
      <c r="F21" s="74" t="s">
        <v>288</v>
      </c>
      <c r="G21" s="74" t="s">
        <v>271</v>
      </c>
      <c r="H21" s="74" t="s">
        <v>241</v>
      </c>
      <c r="I21" s="78" t="s">
        <v>273</v>
      </c>
      <c r="J21" s="74"/>
    </row>
    <row r="22" spans="4:10" ht="15" thickBot="1">
      <c r="D22" s="149"/>
      <c r="E22" s="73">
        <v>17</v>
      </c>
      <c r="F22" s="75" t="s">
        <v>274</v>
      </c>
      <c r="G22" s="74" t="s">
        <v>275</v>
      </c>
      <c r="H22" s="74" t="s">
        <v>276</v>
      </c>
      <c r="I22" s="78" t="s">
        <v>277</v>
      </c>
      <c r="J22" s="74"/>
    </row>
    <row r="23" spans="4:10" ht="15" thickBot="1">
      <c r="D23" s="149"/>
      <c r="E23" s="73">
        <v>18</v>
      </c>
      <c r="F23" s="74" t="s">
        <v>290</v>
      </c>
      <c r="G23" s="74" t="s">
        <v>271</v>
      </c>
      <c r="H23" s="74" t="s">
        <v>241</v>
      </c>
      <c r="I23" s="78" t="s">
        <v>272</v>
      </c>
      <c r="J23" s="71" t="s">
        <v>303</v>
      </c>
    </row>
    <row r="24" spans="4:10" ht="15" thickBot="1">
      <c r="D24" s="150"/>
      <c r="E24" s="73">
        <v>19</v>
      </c>
      <c r="F24" s="74" t="s">
        <v>291</v>
      </c>
      <c r="G24" s="74" t="s">
        <v>271</v>
      </c>
      <c r="H24" s="74" t="s">
        <v>241</v>
      </c>
      <c r="I24" s="78" t="s">
        <v>273</v>
      </c>
      <c r="J24" s="71" t="s">
        <v>304</v>
      </c>
    </row>
    <row r="25" spans="4:10" ht="15" thickBot="1">
      <c r="D25" s="151" t="s">
        <v>302</v>
      </c>
      <c r="E25" s="73">
        <v>20</v>
      </c>
      <c r="F25" s="77" t="s">
        <v>284</v>
      </c>
      <c r="G25" s="77" t="s">
        <v>271</v>
      </c>
      <c r="H25" s="77" t="s">
        <v>285</v>
      </c>
      <c r="I25" s="81" t="s">
        <v>286</v>
      </c>
      <c r="J25" s="71" t="s">
        <v>305</v>
      </c>
    </row>
    <row r="26" spans="4:10" ht="15" thickBot="1">
      <c r="D26" s="149"/>
      <c r="E26" s="73">
        <v>21</v>
      </c>
      <c r="F26" s="75" t="s">
        <v>278</v>
      </c>
      <c r="G26" s="74" t="s">
        <v>275</v>
      </c>
      <c r="H26" s="74" t="s">
        <v>276</v>
      </c>
      <c r="I26" s="78" t="s">
        <v>279</v>
      </c>
      <c r="J26" s="74"/>
    </row>
    <row r="27" spans="4:10" ht="29.25" thickBot="1">
      <c r="D27" s="150"/>
      <c r="E27" s="73">
        <v>22</v>
      </c>
      <c r="F27" s="76" t="s">
        <v>280</v>
      </c>
      <c r="G27" s="74" t="s">
        <v>250</v>
      </c>
      <c r="H27" s="74" t="s">
        <v>281</v>
      </c>
      <c r="I27" s="78" t="s">
        <v>282</v>
      </c>
      <c r="J27" s="74"/>
    </row>
  </sheetData>
  <mergeCells count="3">
    <mergeCell ref="D6:D17"/>
    <mergeCell ref="D18:D24"/>
    <mergeCell ref="D25:D27"/>
  </mergeCells>
  <phoneticPr fontId="14"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AAD86-412C-4CDF-9163-7246A9649CA4}">
  <dimension ref="E1:AH60"/>
  <sheetViews>
    <sheetView zoomScale="70" zoomScaleNormal="70" workbookViewId="0">
      <selection activeCell="V3" sqref="V3"/>
    </sheetView>
  </sheetViews>
  <sheetFormatPr defaultRowHeight="14.25"/>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2" width="4.75" customWidth="1"/>
    <col min="33" max="33" width="6" bestFit="1" customWidth="1"/>
    <col min="34" max="34" width="49" customWidth="1"/>
  </cols>
  <sheetData>
    <row r="1" spans="6:34">
      <c r="F1" s="12"/>
      <c r="G1" s="13">
        <v>31</v>
      </c>
      <c r="H1" s="17" t="s">
        <v>41</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c r="AH1" t="s">
        <v>152</v>
      </c>
    </row>
    <row r="2" spans="6:34">
      <c r="F2" s="4" t="s">
        <v>39</v>
      </c>
      <c r="G2" s="5" t="s">
        <v>9</v>
      </c>
      <c r="H2" s="18"/>
      <c r="I2" s="4" t="s">
        <v>6</v>
      </c>
      <c r="J2" s="152" t="s">
        <v>7</v>
      </c>
      <c r="K2" s="152"/>
      <c r="L2" s="152"/>
      <c r="M2" s="152"/>
      <c r="N2" s="152"/>
      <c r="O2" s="152"/>
      <c r="P2" s="152"/>
      <c r="Q2" s="152"/>
      <c r="R2" s="152"/>
      <c r="S2" s="152"/>
      <c r="T2" s="152"/>
      <c r="U2" s="152"/>
      <c r="V2" s="152"/>
      <c r="W2" s="152"/>
      <c r="X2" s="152"/>
      <c r="Y2" s="152"/>
      <c r="Z2" s="152"/>
      <c r="AA2" s="152"/>
      <c r="AB2" s="152"/>
      <c r="AC2" s="152"/>
      <c r="AD2" s="152"/>
      <c r="AE2" s="152"/>
      <c r="AF2" s="152"/>
      <c r="AG2" s="152"/>
    </row>
    <row r="3" spans="6:34" ht="71.25" customHeight="1">
      <c r="F3" s="6" t="s">
        <v>10</v>
      </c>
      <c r="G3" s="7" t="s">
        <v>28</v>
      </c>
      <c r="H3" s="20">
        <v>0</v>
      </c>
      <c r="I3" s="8" t="str">
        <f t="shared" ref="I3:I11" si="0">"0x" &amp; DEC2HEX(H3,2)</f>
        <v>0x00</v>
      </c>
      <c r="J3" s="156" t="s">
        <v>23</v>
      </c>
      <c r="K3" s="156"/>
      <c r="L3" s="156"/>
      <c r="M3" s="156"/>
      <c r="N3" s="156"/>
      <c r="O3" s="156"/>
      <c r="P3" s="156"/>
      <c r="Q3" s="156"/>
      <c r="R3" s="15" t="s">
        <v>40</v>
      </c>
      <c r="S3" s="156" t="s">
        <v>49</v>
      </c>
      <c r="T3" s="156"/>
      <c r="U3" s="15" t="s">
        <v>36</v>
      </c>
      <c r="V3" s="15" t="s">
        <v>308</v>
      </c>
      <c r="W3" s="15" t="s">
        <v>52</v>
      </c>
      <c r="X3" s="15" t="s">
        <v>20</v>
      </c>
      <c r="Y3" s="15" t="s">
        <v>19</v>
      </c>
      <c r="Z3" s="15" t="s">
        <v>18</v>
      </c>
      <c r="AA3" s="15" t="s">
        <v>17</v>
      </c>
      <c r="AB3" s="15" t="s">
        <v>16</v>
      </c>
      <c r="AC3" s="15" t="s">
        <v>15</v>
      </c>
      <c r="AD3" s="15" t="s">
        <v>14</v>
      </c>
      <c r="AE3" s="15" t="s">
        <v>13</v>
      </c>
      <c r="AF3" s="15" t="s">
        <v>12</v>
      </c>
      <c r="AG3" s="15" t="s">
        <v>11</v>
      </c>
      <c r="AH3" t="s">
        <v>155</v>
      </c>
    </row>
    <row r="4" spans="6:34">
      <c r="F4" s="6" t="s">
        <v>37</v>
      </c>
      <c r="G4" s="7" t="s">
        <v>28</v>
      </c>
      <c r="H4" s="20">
        <v>1</v>
      </c>
      <c r="I4" s="8" t="str">
        <f t="shared" si="0"/>
        <v>0x01</v>
      </c>
      <c r="J4" s="156" t="s">
        <v>24</v>
      </c>
      <c r="K4" s="156"/>
      <c r="L4" s="156"/>
      <c r="M4" s="156"/>
      <c r="N4" s="156"/>
      <c r="O4" s="156"/>
      <c r="P4" s="156"/>
      <c r="Q4" s="156"/>
      <c r="R4" s="9"/>
      <c r="S4" s="156" t="s">
        <v>27</v>
      </c>
      <c r="T4" s="156"/>
      <c r="U4" s="156"/>
      <c r="V4" s="156"/>
      <c r="W4" s="156"/>
      <c r="X4" s="156" t="s">
        <v>26</v>
      </c>
      <c r="Y4" s="156"/>
      <c r="Z4" s="156"/>
      <c r="AA4" s="156"/>
      <c r="AB4" s="156" t="s">
        <v>25</v>
      </c>
      <c r="AC4" s="156"/>
      <c r="AD4" s="156"/>
      <c r="AE4" s="156"/>
      <c r="AF4" s="156"/>
      <c r="AG4" s="156"/>
    </row>
    <row r="5" spans="6:34">
      <c r="F5" s="6" t="s">
        <v>38</v>
      </c>
      <c r="G5" s="7" t="s">
        <v>28</v>
      </c>
      <c r="H5" s="20">
        <v>2</v>
      </c>
      <c r="I5" s="8" t="str">
        <f t="shared" si="0"/>
        <v>0x02</v>
      </c>
      <c r="J5" s="9">
        <v>0</v>
      </c>
      <c r="K5" s="9">
        <v>0</v>
      </c>
      <c r="L5" s="9">
        <v>0</v>
      </c>
      <c r="M5" s="9">
        <v>0</v>
      </c>
      <c r="N5" s="107" t="s">
        <v>346</v>
      </c>
      <c r="O5" s="173"/>
      <c r="P5" s="173"/>
      <c r="Q5" s="173"/>
      <c r="R5" s="173"/>
      <c r="S5" s="173"/>
      <c r="T5" s="173"/>
      <c r="U5" s="173"/>
      <c r="V5" s="173"/>
      <c r="W5" s="173"/>
      <c r="X5" s="173"/>
      <c r="Y5" s="173"/>
      <c r="Z5" s="173"/>
      <c r="AA5" s="173"/>
      <c r="AB5" s="173"/>
      <c r="AC5" s="173"/>
      <c r="AD5" s="173"/>
      <c r="AE5" s="173"/>
      <c r="AF5" s="173"/>
      <c r="AG5" s="174"/>
    </row>
    <row r="6" spans="6:34">
      <c r="F6" s="6" t="s">
        <v>29</v>
      </c>
      <c r="G6" s="7" t="s">
        <v>9</v>
      </c>
      <c r="H6" s="20">
        <v>3</v>
      </c>
      <c r="I6" s="8" t="str">
        <f t="shared" si="0"/>
        <v>0x03</v>
      </c>
      <c r="J6" s="156" t="s">
        <v>30</v>
      </c>
      <c r="K6" s="156"/>
      <c r="L6" s="156"/>
      <c r="M6" s="156"/>
      <c r="N6" s="156"/>
      <c r="O6" s="156"/>
      <c r="P6" s="156"/>
      <c r="Q6" s="156"/>
      <c r="R6" s="156"/>
      <c r="S6" s="156"/>
      <c r="T6" s="156"/>
      <c r="U6" s="156"/>
      <c r="V6" s="156"/>
      <c r="W6" s="156"/>
      <c r="X6" s="156"/>
      <c r="Y6" s="156"/>
      <c r="Z6" s="156"/>
      <c r="AA6" s="156"/>
      <c r="AB6" s="156"/>
      <c r="AC6" s="156"/>
      <c r="AD6" s="156"/>
      <c r="AE6" s="156"/>
      <c r="AF6" s="156"/>
      <c r="AG6" s="156"/>
    </row>
    <row r="7" spans="6:34">
      <c r="F7" s="9" t="s">
        <v>82</v>
      </c>
      <c r="G7" s="52" t="s">
        <v>9</v>
      </c>
      <c r="H7" s="53">
        <v>4</v>
      </c>
      <c r="I7" s="54" t="str">
        <f t="shared" si="0"/>
        <v>0x04</v>
      </c>
      <c r="J7" s="9">
        <v>0</v>
      </c>
      <c r="K7" s="9">
        <v>0</v>
      </c>
      <c r="L7" s="9">
        <v>0</v>
      </c>
      <c r="M7" s="9">
        <v>0</v>
      </c>
      <c r="N7" s="9">
        <v>0</v>
      </c>
      <c r="O7" s="9">
        <v>0</v>
      </c>
      <c r="P7" s="9">
        <v>0</v>
      </c>
      <c r="Q7" s="9">
        <v>0</v>
      </c>
      <c r="R7" s="9">
        <v>0</v>
      </c>
      <c r="S7" s="9">
        <v>0</v>
      </c>
      <c r="T7" s="9">
        <v>0</v>
      </c>
      <c r="U7" s="9">
        <v>0</v>
      </c>
      <c r="V7" s="9">
        <v>0</v>
      </c>
      <c r="W7" s="9">
        <v>0</v>
      </c>
      <c r="X7" s="9">
        <v>0</v>
      </c>
      <c r="Y7" s="9">
        <v>0</v>
      </c>
      <c r="Z7" s="9">
        <v>0</v>
      </c>
      <c r="AA7" s="9">
        <v>0</v>
      </c>
      <c r="AB7" s="9">
        <v>0</v>
      </c>
      <c r="AC7" s="9">
        <v>0</v>
      </c>
      <c r="AD7" s="9">
        <v>0</v>
      </c>
      <c r="AE7" s="9">
        <v>0</v>
      </c>
      <c r="AF7" s="9">
        <v>0</v>
      </c>
      <c r="AG7" s="9">
        <v>0</v>
      </c>
    </row>
    <row r="8" spans="6:34">
      <c r="F8" s="9" t="s">
        <v>82</v>
      </c>
      <c r="G8" s="52" t="s">
        <v>9</v>
      </c>
      <c r="H8" s="53">
        <v>5</v>
      </c>
      <c r="I8" s="54" t="str">
        <f t="shared" si="0"/>
        <v>0x05</v>
      </c>
      <c r="J8" s="9">
        <v>0</v>
      </c>
      <c r="K8" s="9">
        <v>0</v>
      </c>
      <c r="L8" s="9">
        <v>0</v>
      </c>
      <c r="M8" s="9">
        <v>0</v>
      </c>
      <c r="N8" s="9">
        <v>0</v>
      </c>
      <c r="O8" s="9">
        <v>0</v>
      </c>
      <c r="P8" s="9">
        <v>0</v>
      </c>
      <c r="Q8" s="9">
        <v>0</v>
      </c>
      <c r="R8" s="9">
        <v>0</v>
      </c>
      <c r="S8" s="9">
        <v>0</v>
      </c>
      <c r="T8" s="9">
        <v>0</v>
      </c>
      <c r="U8" s="9">
        <v>0</v>
      </c>
      <c r="V8" s="9">
        <v>0</v>
      </c>
      <c r="W8" s="9">
        <v>0</v>
      </c>
      <c r="X8" s="9">
        <v>0</v>
      </c>
      <c r="Y8" s="9">
        <v>0</v>
      </c>
      <c r="Z8" s="9">
        <v>0</v>
      </c>
      <c r="AA8" s="9">
        <v>0</v>
      </c>
      <c r="AB8" s="9">
        <v>0</v>
      </c>
      <c r="AC8" s="9">
        <v>0</v>
      </c>
      <c r="AD8" s="9">
        <v>0</v>
      </c>
      <c r="AE8" s="9">
        <v>0</v>
      </c>
      <c r="AF8" s="9">
        <v>0</v>
      </c>
      <c r="AG8" s="9">
        <v>0</v>
      </c>
    </row>
    <row r="9" spans="6:34">
      <c r="F9" s="6" t="s">
        <v>22</v>
      </c>
      <c r="G9" s="7" t="s">
        <v>9</v>
      </c>
      <c r="H9" s="20">
        <v>6</v>
      </c>
      <c r="I9" s="8" t="str">
        <f t="shared" si="0"/>
        <v>0x06</v>
      </c>
      <c r="J9" s="9">
        <v>0</v>
      </c>
      <c r="K9" s="9">
        <v>0</v>
      </c>
      <c r="L9" s="9">
        <v>0</v>
      </c>
      <c r="M9" s="9">
        <v>0</v>
      </c>
      <c r="N9" s="185" t="s">
        <v>146</v>
      </c>
      <c r="O9" s="186"/>
      <c r="P9" s="186"/>
      <c r="Q9" s="186"/>
      <c r="R9" s="186"/>
      <c r="S9" s="186"/>
      <c r="T9" s="186"/>
      <c r="U9" s="186"/>
      <c r="V9" s="186"/>
      <c r="W9" s="186"/>
      <c r="X9" s="186"/>
      <c r="Y9" s="187"/>
      <c r="Z9" s="185" t="s">
        <v>145</v>
      </c>
      <c r="AA9" s="186"/>
      <c r="AB9" s="186"/>
      <c r="AC9" s="186"/>
      <c r="AD9" s="186"/>
      <c r="AE9" s="187"/>
      <c r="AF9" s="107" t="s">
        <v>5</v>
      </c>
      <c r="AG9" s="109"/>
      <c r="AH9" t="s">
        <v>153</v>
      </c>
    </row>
    <row r="10" spans="6:34" ht="47.25" customHeight="1" thickBot="1">
      <c r="F10" s="21" t="s">
        <v>21</v>
      </c>
      <c r="G10" s="22" t="s">
        <v>9</v>
      </c>
      <c r="H10" s="23">
        <v>7</v>
      </c>
      <c r="I10" s="24" t="str">
        <f t="shared" si="0"/>
        <v>0x07</v>
      </c>
      <c r="J10" s="55">
        <v>0</v>
      </c>
      <c r="K10" s="55">
        <v>0</v>
      </c>
      <c r="L10" s="55">
        <v>0</v>
      </c>
      <c r="M10" s="55">
        <v>0</v>
      </c>
      <c r="N10" s="55">
        <v>0</v>
      </c>
      <c r="O10" s="55">
        <v>0</v>
      </c>
      <c r="P10" s="15" t="s">
        <v>140</v>
      </c>
      <c r="Q10" s="15" t="s">
        <v>133</v>
      </c>
      <c r="R10" s="188" t="s">
        <v>191</v>
      </c>
      <c r="S10" s="189"/>
      <c r="T10" s="189"/>
      <c r="U10" s="189"/>
      <c r="V10" s="189"/>
      <c r="W10" s="190"/>
      <c r="X10" s="188" t="s">
        <v>190</v>
      </c>
      <c r="Y10" s="189"/>
      <c r="Z10" s="189"/>
      <c r="AA10" s="189"/>
      <c r="AB10" s="189"/>
      <c r="AC10" s="189"/>
      <c r="AD10" s="189"/>
      <c r="AE10" s="189"/>
      <c r="AF10" s="189"/>
      <c r="AG10" s="190"/>
      <c r="AH10" t="s">
        <v>154</v>
      </c>
    </row>
    <row r="11" spans="6:34">
      <c r="F11" s="25" t="s">
        <v>42</v>
      </c>
      <c r="G11" s="26" t="s">
        <v>9</v>
      </c>
      <c r="H11" s="27">
        <v>8</v>
      </c>
      <c r="I11" s="28" t="str">
        <f t="shared" si="0"/>
        <v>0x08</v>
      </c>
      <c r="J11" s="175" t="s">
        <v>125</v>
      </c>
      <c r="K11" s="176"/>
      <c r="L11" s="176"/>
      <c r="M11" s="176"/>
      <c r="N11" s="176"/>
      <c r="O11" s="176"/>
      <c r="P11" s="177"/>
      <c r="Q11" s="177"/>
      <c r="R11" s="177"/>
      <c r="S11" s="177"/>
      <c r="T11" s="177"/>
      <c r="U11" s="177"/>
      <c r="V11" s="177"/>
      <c r="W11" s="177"/>
      <c r="X11" s="177"/>
      <c r="Y11" s="177"/>
      <c r="Z11" s="177"/>
      <c r="AA11" s="177"/>
      <c r="AB11" s="177"/>
      <c r="AC11" s="177"/>
      <c r="AD11" s="177"/>
      <c r="AE11" s="177"/>
      <c r="AF11" s="177"/>
      <c r="AG11" s="178"/>
      <c r="AH11" t="s">
        <v>157</v>
      </c>
    </row>
    <row r="12" spans="6:34" ht="15">
      <c r="F12" s="157" t="s">
        <v>43</v>
      </c>
      <c r="G12" s="158"/>
      <c r="H12" s="158"/>
      <c r="I12" s="159"/>
      <c r="J12" s="179"/>
      <c r="K12" s="180"/>
      <c r="L12" s="180"/>
      <c r="M12" s="180"/>
      <c r="N12" s="180"/>
      <c r="O12" s="180"/>
      <c r="P12" s="180"/>
      <c r="Q12" s="180"/>
      <c r="R12" s="180"/>
      <c r="S12" s="180"/>
      <c r="T12" s="180"/>
      <c r="U12" s="180"/>
      <c r="V12" s="180"/>
      <c r="W12" s="180"/>
      <c r="X12" s="180"/>
      <c r="Y12" s="180"/>
      <c r="Z12" s="180"/>
      <c r="AA12" s="180"/>
      <c r="AB12" s="180"/>
      <c r="AC12" s="180"/>
      <c r="AD12" s="180"/>
      <c r="AE12" s="180"/>
      <c r="AF12" s="180"/>
      <c r="AG12" s="181"/>
    </row>
    <row r="13" spans="6:34" ht="15" thickBot="1">
      <c r="F13" s="29" t="s">
        <v>117</v>
      </c>
      <c r="G13" s="30" t="s">
        <v>9</v>
      </c>
      <c r="H13" s="31">
        <v>11</v>
      </c>
      <c r="I13" s="32" t="str">
        <f>"0x" &amp; DEC2HEX(H13,2)</f>
        <v>0x0B</v>
      </c>
      <c r="J13" s="182"/>
      <c r="K13" s="183"/>
      <c r="L13" s="183"/>
      <c r="M13" s="183"/>
      <c r="N13" s="183"/>
      <c r="O13" s="183"/>
      <c r="P13" s="183"/>
      <c r="Q13" s="183"/>
      <c r="R13" s="183"/>
      <c r="S13" s="183"/>
      <c r="T13" s="183"/>
      <c r="U13" s="183"/>
      <c r="V13" s="183"/>
      <c r="W13" s="183"/>
      <c r="X13" s="183"/>
      <c r="Y13" s="183"/>
      <c r="Z13" s="183"/>
      <c r="AA13" s="183"/>
      <c r="AB13" s="183"/>
      <c r="AC13" s="183"/>
      <c r="AD13" s="183"/>
      <c r="AE13" s="183"/>
      <c r="AF13" s="183"/>
      <c r="AG13" s="184"/>
    </row>
    <row r="14" spans="6:34">
      <c r="F14" s="33" t="s">
        <v>44</v>
      </c>
      <c r="G14" s="34" t="s">
        <v>9</v>
      </c>
      <c r="H14" s="35">
        <v>12</v>
      </c>
      <c r="I14" s="36" t="str">
        <f>"0x" &amp; DEC2HEX(H14,2)</f>
        <v>0x0C</v>
      </c>
      <c r="J14" s="160" t="s">
        <v>126</v>
      </c>
      <c r="K14" s="161"/>
      <c r="L14" s="161"/>
      <c r="M14" s="161"/>
      <c r="N14" s="161"/>
      <c r="O14" s="161"/>
      <c r="P14" s="162"/>
      <c r="Q14" s="162"/>
      <c r="R14" s="162"/>
      <c r="S14" s="162"/>
      <c r="T14" s="162"/>
      <c r="U14" s="162"/>
      <c r="V14" s="162"/>
      <c r="W14" s="162"/>
      <c r="X14" s="162"/>
      <c r="Y14" s="162"/>
      <c r="Z14" s="162"/>
      <c r="AA14" s="162"/>
      <c r="AB14" s="162"/>
      <c r="AC14" s="162"/>
      <c r="AD14" s="162"/>
      <c r="AE14" s="162"/>
      <c r="AF14" s="162"/>
      <c r="AG14" s="163"/>
    </row>
    <row r="15" spans="6:34" ht="15">
      <c r="F15" s="170" t="s">
        <v>43</v>
      </c>
      <c r="G15" s="171"/>
      <c r="H15" s="171"/>
      <c r="I15" s="172"/>
      <c r="J15" s="164"/>
      <c r="K15" s="165"/>
      <c r="L15" s="165"/>
      <c r="M15" s="165"/>
      <c r="N15" s="165"/>
      <c r="O15" s="165"/>
      <c r="P15" s="165"/>
      <c r="Q15" s="165"/>
      <c r="R15" s="165"/>
      <c r="S15" s="165"/>
      <c r="T15" s="165"/>
      <c r="U15" s="165"/>
      <c r="V15" s="165"/>
      <c r="W15" s="165"/>
      <c r="X15" s="165"/>
      <c r="Y15" s="165"/>
      <c r="Z15" s="165"/>
      <c r="AA15" s="165"/>
      <c r="AB15" s="165"/>
      <c r="AC15" s="165"/>
      <c r="AD15" s="165"/>
      <c r="AE15" s="165"/>
      <c r="AF15" s="165"/>
      <c r="AG15" s="166"/>
    </row>
    <row r="16" spans="6:34" ht="15" thickBot="1">
      <c r="F16" s="37" t="s">
        <v>118</v>
      </c>
      <c r="G16" s="38" t="s">
        <v>9</v>
      </c>
      <c r="H16" s="39">
        <v>15</v>
      </c>
      <c r="I16" s="40" t="str">
        <f>"0x" &amp; DEC2HEX(H16,2)</f>
        <v>0x0F</v>
      </c>
      <c r="J16" s="167"/>
      <c r="K16" s="168"/>
      <c r="L16" s="168"/>
      <c r="M16" s="168"/>
      <c r="N16" s="168"/>
      <c r="O16" s="168"/>
      <c r="P16" s="168"/>
      <c r="Q16" s="168"/>
      <c r="R16" s="168"/>
      <c r="S16" s="168"/>
      <c r="T16" s="168"/>
      <c r="U16" s="168"/>
      <c r="V16" s="168"/>
      <c r="W16" s="168"/>
      <c r="X16" s="168"/>
      <c r="Y16" s="168"/>
      <c r="Z16" s="168"/>
      <c r="AA16" s="168"/>
      <c r="AB16" s="168"/>
      <c r="AC16" s="168"/>
      <c r="AD16" s="168"/>
      <c r="AE16" s="168"/>
      <c r="AF16" s="168"/>
      <c r="AG16" s="169"/>
    </row>
    <row r="17" spans="6:33">
      <c r="F17" s="25" t="s">
        <v>45</v>
      </c>
      <c r="G17" s="26" t="s">
        <v>9</v>
      </c>
      <c r="H17" s="27">
        <v>16</v>
      </c>
      <c r="I17" s="28" t="str">
        <f>"0x" &amp; DEC2HEX(H17,2)</f>
        <v>0x10</v>
      </c>
      <c r="J17" s="175" t="s">
        <v>127</v>
      </c>
      <c r="K17" s="176"/>
      <c r="L17" s="176"/>
      <c r="M17" s="176"/>
      <c r="N17" s="176"/>
      <c r="O17" s="176"/>
      <c r="P17" s="177"/>
      <c r="Q17" s="177"/>
      <c r="R17" s="177"/>
      <c r="S17" s="177"/>
      <c r="T17" s="177"/>
      <c r="U17" s="177"/>
      <c r="V17" s="177"/>
      <c r="W17" s="177"/>
      <c r="X17" s="177"/>
      <c r="Y17" s="177"/>
      <c r="Z17" s="177"/>
      <c r="AA17" s="177"/>
      <c r="AB17" s="177"/>
      <c r="AC17" s="177"/>
      <c r="AD17" s="177"/>
      <c r="AE17" s="177"/>
      <c r="AF17" s="177"/>
      <c r="AG17" s="178"/>
    </row>
    <row r="18" spans="6:33" ht="15">
      <c r="F18" s="157" t="s">
        <v>43</v>
      </c>
      <c r="G18" s="158"/>
      <c r="H18" s="158"/>
      <c r="I18" s="159"/>
      <c r="J18" s="179"/>
      <c r="K18" s="180"/>
      <c r="L18" s="180"/>
      <c r="M18" s="180"/>
      <c r="N18" s="180"/>
      <c r="O18" s="180"/>
      <c r="P18" s="180"/>
      <c r="Q18" s="180"/>
      <c r="R18" s="180"/>
      <c r="S18" s="180"/>
      <c r="T18" s="180"/>
      <c r="U18" s="180"/>
      <c r="V18" s="180"/>
      <c r="W18" s="180"/>
      <c r="X18" s="180"/>
      <c r="Y18" s="180"/>
      <c r="Z18" s="180"/>
      <c r="AA18" s="180"/>
      <c r="AB18" s="180"/>
      <c r="AC18" s="180"/>
      <c r="AD18" s="180"/>
      <c r="AE18" s="180"/>
      <c r="AF18" s="180"/>
      <c r="AG18" s="181"/>
    </row>
    <row r="19" spans="6:33" ht="15" thickBot="1">
      <c r="F19" s="29" t="s">
        <v>119</v>
      </c>
      <c r="G19" s="30" t="s">
        <v>9</v>
      </c>
      <c r="H19" s="31">
        <v>19</v>
      </c>
      <c r="I19" s="32" t="str">
        <f>"0x" &amp; DEC2HEX(H19,2)</f>
        <v>0x13</v>
      </c>
      <c r="J19" s="182"/>
      <c r="K19" s="183"/>
      <c r="L19" s="183"/>
      <c r="M19" s="183"/>
      <c r="N19" s="183"/>
      <c r="O19" s="183"/>
      <c r="P19" s="183"/>
      <c r="Q19" s="183"/>
      <c r="R19" s="183"/>
      <c r="S19" s="183"/>
      <c r="T19" s="183"/>
      <c r="U19" s="183"/>
      <c r="V19" s="183"/>
      <c r="W19" s="183"/>
      <c r="X19" s="183"/>
      <c r="Y19" s="183"/>
      <c r="Z19" s="183"/>
      <c r="AA19" s="183"/>
      <c r="AB19" s="183"/>
      <c r="AC19" s="183"/>
      <c r="AD19" s="183"/>
      <c r="AE19" s="183"/>
      <c r="AF19" s="183"/>
      <c r="AG19" s="184"/>
    </row>
    <row r="20" spans="6:33">
      <c r="F20" s="33" t="s">
        <v>46</v>
      </c>
      <c r="G20" s="34" t="s">
        <v>9</v>
      </c>
      <c r="H20" s="35">
        <v>20</v>
      </c>
      <c r="I20" s="36" t="str">
        <f>"0x" &amp; DEC2HEX(H20,2)</f>
        <v>0x14</v>
      </c>
      <c r="J20" s="160" t="s">
        <v>128</v>
      </c>
      <c r="K20" s="161"/>
      <c r="L20" s="161"/>
      <c r="M20" s="161"/>
      <c r="N20" s="161"/>
      <c r="O20" s="161"/>
      <c r="P20" s="162"/>
      <c r="Q20" s="162"/>
      <c r="R20" s="162"/>
      <c r="S20" s="162"/>
      <c r="T20" s="162"/>
      <c r="U20" s="162"/>
      <c r="V20" s="162"/>
      <c r="W20" s="162"/>
      <c r="X20" s="162"/>
      <c r="Y20" s="162"/>
      <c r="Z20" s="162"/>
      <c r="AA20" s="162"/>
      <c r="AB20" s="162"/>
      <c r="AC20" s="162"/>
      <c r="AD20" s="162"/>
      <c r="AE20" s="162"/>
      <c r="AF20" s="162"/>
      <c r="AG20" s="163"/>
    </row>
    <row r="21" spans="6:33" ht="15">
      <c r="F21" s="170" t="s">
        <v>43</v>
      </c>
      <c r="G21" s="171"/>
      <c r="H21" s="171"/>
      <c r="I21" s="172"/>
      <c r="J21" s="164"/>
      <c r="K21" s="165"/>
      <c r="L21" s="165"/>
      <c r="M21" s="165"/>
      <c r="N21" s="165"/>
      <c r="O21" s="165"/>
      <c r="P21" s="165"/>
      <c r="Q21" s="165"/>
      <c r="R21" s="165"/>
      <c r="S21" s="165"/>
      <c r="T21" s="165"/>
      <c r="U21" s="165"/>
      <c r="V21" s="165"/>
      <c r="W21" s="165"/>
      <c r="X21" s="165"/>
      <c r="Y21" s="165"/>
      <c r="Z21" s="165"/>
      <c r="AA21" s="165"/>
      <c r="AB21" s="165"/>
      <c r="AC21" s="165"/>
      <c r="AD21" s="165"/>
      <c r="AE21" s="165"/>
      <c r="AF21" s="165"/>
      <c r="AG21" s="166"/>
    </row>
    <row r="22" spans="6:33" ht="15" thickBot="1">
      <c r="F22" s="37" t="s">
        <v>120</v>
      </c>
      <c r="G22" s="38" t="s">
        <v>9</v>
      </c>
      <c r="H22" s="39">
        <v>23</v>
      </c>
      <c r="I22" s="40" t="str">
        <f>"0x" &amp; DEC2HEX(H22,2)</f>
        <v>0x17</v>
      </c>
      <c r="J22" s="167"/>
      <c r="K22" s="168"/>
      <c r="L22" s="168"/>
      <c r="M22" s="168"/>
      <c r="N22" s="168"/>
      <c r="O22" s="168"/>
      <c r="P22" s="168"/>
      <c r="Q22" s="168"/>
      <c r="R22" s="168"/>
      <c r="S22" s="168"/>
      <c r="T22" s="168"/>
      <c r="U22" s="168"/>
      <c r="V22" s="168"/>
      <c r="W22" s="168"/>
      <c r="X22" s="168"/>
      <c r="Y22" s="168"/>
      <c r="Z22" s="168"/>
      <c r="AA22" s="168"/>
      <c r="AB22" s="168"/>
      <c r="AC22" s="168"/>
      <c r="AD22" s="168"/>
      <c r="AE22" s="168"/>
      <c r="AF22" s="168"/>
      <c r="AG22" s="169"/>
    </row>
    <row r="23" spans="6:33">
      <c r="F23" s="25" t="s">
        <v>47</v>
      </c>
      <c r="G23" s="26" t="s">
        <v>9</v>
      </c>
      <c r="H23" s="27">
        <v>24</v>
      </c>
      <c r="I23" s="28" t="str">
        <f>"0x" &amp; DEC2HEX(H23,2)</f>
        <v>0x18</v>
      </c>
      <c r="J23" s="175" t="s">
        <v>129</v>
      </c>
      <c r="K23" s="176"/>
      <c r="L23" s="176"/>
      <c r="M23" s="176"/>
      <c r="N23" s="176"/>
      <c r="O23" s="176"/>
      <c r="P23" s="177"/>
      <c r="Q23" s="177"/>
      <c r="R23" s="177"/>
      <c r="S23" s="177"/>
      <c r="T23" s="177"/>
      <c r="U23" s="177"/>
      <c r="V23" s="177"/>
      <c r="W23" s="177"/>
      <c r="X23" s="177"/>
      <c r="Y23" s="177"/>
      <c r="Z23" s="177"/>
      <c r="AA23" s="177"/>
      <c r="AB23" s="177"/>
      <c r="AC23" s="177"/>
      <c r="AD23" s="177"/>
      <c r="AE23" s="177"/>
      <c r="AF23" s="177"/>
      <c r="AG23" s="178"/>
    </row>
    <row r="24" spans="6:33" ht="15">
      <c r="F24" s="157" t="s">
        <v>43</v>
      </c>
      <c r="G24" s="158"/>
      <c r="H24" s="158"/>
      <c r="I24" s="159"/>
      <c r="J24" s="179"/>
      <c r="K24" s="180"/>
      <c r="L24" s="180"/>
      <c r="M24" s="180"/>
      <c r="N24" s="180"/>
      <c r="O24" s="180"/>
      <c r="P24" s="180"/>
      <c r="Q24" s="180"/>
      <c r="R24" s="180"/>
      <c r="S24" s="180"/>
      <c r="T24" s="180"/>
      <c r="U24" s="180"/>
      <c r="V24" s="180"/>
      <c r="W24" s="180"/>
      <c r="X24" s="180"/>
      <c r="Y24" s="180"/>
      <c r="Z24" s="180"/>
      <c r="AA24" s="180"/>
      <c r="AB24" s="180"/>
      <c r="AC24" s="180"/>
      <c r="AD24" s="180"/>
      <c r="AE24" s="180"/>
      <c r="AF24" s="180"/>
      <c r="AG24" s="181"/>
    </row>
    <row r="25" spans="6:33" ht="15" thickBot="1">
      <c r="F25" s="29" t="s">
        <v>121</v>
      </c>
      <c r="G25" s="30" t="s">
        <v>9</v>
      </c>
      <c r="H25" s="31">
        <v>27</v>
      </c>
      <c r="I25" s="32" t="str">
        <f>"0x" &amp; DEC2HEX(H25,2)</f>
        <v>0x1B</v>
      </c>
      <c r="J25" s="182"/>
      <c r="K25" s="183"/>
      <c r="L25" s="183"/>
      <c r="M25" s="183"/>
      <c r="N25" s="183"/>
      <c r="O25" s="183"/>
      <c r="P25" s="183"/>
      <c r="Q25" s="183"/>
      <c r="R25" s="183"/>
      <c r="S25" s="183"/>
      <c r="T25" s="183"/>
      <c r="U25" s="183"/>
      <c r="V25" s="183"/>
      <c r="W25" s="183"/>
      <c r="X25" s="183"/>
      <c r="Y25" s="183"/>
      <c r="Z25" s="183"/>
      <c r="AA25" s="183"/>
      <c r="AB25" s="183"/>
      <c r="AC25" s="183"/>
      <c r="AD25" s="183"/>
      <c r="AE25" s="183"/>
      <c r="AF25" s="183"/>
      <c r="AG25" s="184"/>
    </row>
    <row r="26" spans="6:33">
      <c r="F26" s="33" t="s">
        <v>48</v>
      </c>
      <c r="G26" s="34" t="s">
        <v>9</v>
      </c>
      <c r="H26" s="35">
        <v>28</v>
      </c>
      <c r="I26" s="36" t="str">
        <f>"0x" &amp; DEC2HEX(H26,2)</f>
        <v>0x1C</v>
      </c>
      <c r="J26" s="160" t="s">
        <v>130</v>
      </c>
      <c r="K26" s="161"/>
      <c r="L26" s="161"/>
      <c r="M26" s="161"/>
      <c r="N26" s="161"/>
      <c r="O26" s="161"/>
      <c r="P26" s="162"/>
      <c r="Q26" s="162"/>
      <c r="R26" s="162"/>
      <c r="S26" s="162"/>
      <c r="T26" s="162"/>
      <c r="U26" s="162"/>
      <c r="V26" s="162"/>
      <c r="W26" s="162"/>
      <c r="X26" s="162"/>
      <c r="Y26" s="162"/>
      <c r="Z26" s="162"/>
      <c r="AA26" s="162"/>
      <c r="AB26" s="162"/>
      <c r="AC26" s="162"/>
      <c r="AD26" s="162"/>
      <c r="AE26" s="162"/>
      <c r="AF26" s="162"/>
      <c r="AG26" s="163"/>
    </row>
    <row r="27" spans="6:33" ht="15">
      <c r="F27" s="170" t="s">
        <v>43</v>
      </c>
      <c r="G27" s="171"/>
      <c r="H27" s="171"/>
      <c r="I27" s="172"/>
      <c r="J27" s="164"/>
      <c r="K27" s="165"/>
      <c r="L27" s="165"/>
      <c r="M27" s="165"/>
      <c r="N27" s="165"/>
      <c r="O27" s="165"/>
      <c r="P27" s="165"/>
      <c r="Q27" s="165"/>
      <c r="R27" s="165"/>
      <c r="S27" s="165"/>
      <c r="T27" s="165"/>
      <c r="U27" s="165"/>
      <c r="V27" s="165"/>
      <c r="W27" s="165"/>
      <c r="X27" s="165"/>
      <c r="Y27" s="165"/>
      <c r="Z27" s="165"/>
      <c r="AA27" s="165"/>
      <c r="AB27" s="165"/>
      <c r="AC27" s="165"/>
      <c r="AD27" s="165"/>
      <c r="AE27" s="165"/>
      <c r="AF27" s="165"/>
      <c r="AG27" s="166"/>
    </row>
    <row r="28" spans="6:33" ht="15" thickBot="1">
      <c r="F28" s="37" t="s">
        <v>122</v>
      </c>
      <c r="G28" s="38" t="s">
        <v>9</v>
      </c>
      <c r="H28" s="39">
        <v>31</v>
      </c>
      <c r="I28" s="40" t="str">
        <f>"0x" &amp; DEC2HEX(H28,2)</f>
        <v>0x1F</v>
      </c>
      <c r="J28" s="167"/>
      <c r="K28" s="168"/>
      <c r="L28" s="168"/>
      <c r="M28" s="168"/>
      <c r="N28" s="168"/>
      <c r="O28" s="168"/>
      <c r="P28" s="168"/>
      <c r="Q28" s="168"/>
      <c r="R28" s="168"/>
      <c r="S28" s="168"/>
      <c r="T28" s="168"/>
      <c r="U28" s="168"/>
      <c r="V28" s="168"/>
      <c r="W28" s="168"/>
      <c r="X28" s="168"/>
      <c r="Y28" s="168"/>
      <c r="Z28" s="168"/>
      <c r="AA28" s="168"/>
      <c r="AB28" s="168"/>
      <c r="AC28" s="168"/>
      <c r="AD28" s="168"/>
      <c r="AE28" s="168"/>
      <c r="AF28" s="168"/>
      <c r="AG28" s="169"/>
    </row>
    <row r="29" spans="6:33">
      <c r="F29" s="25" t="s">
        <v>50</v>
      </c>
      <c r="G29" s="26" t="s">
        <v>9</v>
      </c>
      <c r="H29" s="27">
        <v>32</v>
      </c>
      <c r="I29" s="28" t="str">
        <f>"0x" &amp; DEC2HEX(H29,2)</f>
        <v>0x20</v>
      </c>
      <c r="J29" s="175" t="s">
        <v>131</v>
      </c>
      <c r="K29" s="176"/>
      <c r="L29" s="176"/>
      <c r="M29" s="176"/>
      <c r="N29" s="176"/>
      <c r="O29" s="176"/>
      <c r="P29" s="177"/>
      <c r="Q29" s="177"/>
      <c r="R29" s="177"/>
      <c r="S29" s="177"/>
      <c r="T29" s="177"/>
      <c r="U29" s="177"/>
      <c r="V29" s="177"/>
      <c r="W29" s="177"/>
      <c r="X29" s="177"/>
      <c r="Y29" s="177"/>
      <c r="Z29" s="177"/>
      <c r="AA29" s="177"/>
      <c r="AB29" s="177"/>
      <c r="AC29" s="177"/>
      <c r="AD29" s="177"/>
      <c r="AE29" s="177"/>
      <c r="AF29" s="177"/>
      <c r="AG29" s="178"/>
    </row>
    <row r="30" spans="6:33" ht="15">
      <c r="F30" s="157" t="s">
        <v>43</v>
      </c>
      <c r="G30" s="158"/>
      <c r="H30" s="158"/>
      <c r="I30" s="159"/>
      <c r="J30" s="179"/>
      <c r="K30" s="180"/>
      <c r="L30" s="180"/>
      <c r="M30" s="180"/>
      <c r="N30" s="180"/>
      <c r="O30" s="180"/>
      <c r="P30" s="180"/>
      <c r="Q30" s="180"/>
      <c r="R30" s="180"/>
      <c r="S30" s="180"/>
      <c r="T30" s="180"/>
      <c r="U30" s="180"/>
      <c r="V30" s="180"/>
      <c r="W30" s="180"/>
      <c r="X30" s="180"/>
      <c r="Y30" s="180"/>
      <c r="Z30" s="180"/>
      <c r="AA30" s="180"/>
      <c r="AB30" s="180"/>
      <c r="AC30" s="180"/>
      <c r="AD30" s="180"/>
      <c r="AE30" s="180"/>
      <c r="AF30" s="180"/>
      <c r="AG30" s="181"/>
    </row>
    <row r="31" spans="6:33" ht="15" thickBot="1">
      <c r="F31" s="29" t="s">
        <v>123</v>
      </c>
      <c r="G31" s="30" t="s">
        <v>9</v>
      </c>
      <c r="H31" s="31">
        <v>35</v>
      </c>
      <c r="I31" s="32" t="str">
        <f>"0x" &amp; DEC2HEX(H31,2)</f>
        <v>0x23</v>
      </c>
      <c r="J31" s="182"/>
      <c r="K31" s="183"/>
      <c r="L31" s="183"/>
      <c r="M31" s="183"/>
      <c r="N31" s="183"/>
      <c r="O31" s="183"/>
      <c r="P31" s="183"/>
      <c r="Q31" s="183"/>
      <c r="R31" s="183"/>
      <c r="S31" s="183"/>
      <c r="T31" s="183"/>
      <c r="U31" s="183"/>
      <c r="V31" s="183"/>
      <c r="W31" s="183"/>
      <c r="X31" s="183"/>
      <c r="Y31" s="183"/>
      <c r="Z31" s="183"/>
      <c r="AA31" s="183"/>
      <c r="AB31" s="183"/>
      <c r="AC31" s="183"/>
      <c r="AD31" s="183"/>
      <c r="AE31" s="183"/>
      <c r="AF31" s="183"/>
      <c r="AG31" s="184"/>
    </row>
    <row r="32" spans="6:33">
      <c r="F32" s="33" t="s">
        <v>51</v>
      </c>
      <c r="G32" s="34" t="s">
        <v>9</v>
      </c>
      <c r="H32" s="35">
        <v>36</v>
      </c>
      <c r="I32" s="36" t="str">
        <f>"0x" &amp; DEC2HEX(H32,2)</f>
        <v>0x24</v>
      </c>
      <c r="J32" s="160" t="s">
        <v>132</v>
      </c>
      <c r="K32" s="161"/>
      <c r="L32" s="161"/>
      <c r="M32" s="161"/>
      <c r="N32" s="161"/>
      <c r="O32" s="161"/>
      <c r="P32" s="162"/>
      <c r="Q32" s="162"/>
      <c r="R32" s="162"/>
      <c r="S32" s="162"/>
      <c r="T32" s="162"/>
      <c r="U32" s="162"/>
      <c r="V32" s="162"/>
      <c r="W32" s="162"/>
      <c r="X32" s="162"/>
      <c r="Y32" s="162"/>
      <c r="Z32" s="162"/>
      <c r="AA32" s="162"/>
      <c r="AB32" s="162"/>
      <c r="AC32" s="162"/>
      <c r="AD32" s="162"/>
      <c r="AE32" s="162"/>
      <c r="AF32" s="162"/>
      <c r="AG32" s="163"/>
    </row>
    <row r="33" spans="5:34" ht="15">
      <c r="F33" s="170" t="s">
        <v>43</v>
      </c>
      <c r="G33" s="171"/>
      <c r="H33" s="171"/>
      <c r="I33" s="172"/>
      <c r="J33" s="164"/>
      <c r="K33" s="165"/>
      <c r="L33" s="165"/>
      <c r="M33" s="165"/>
      <c r="N33" s="165"/>
      <c r="O33" s="165"/>
      <c r="P33" s="165"/>
      <c r="Q33" s="165"/>
      <c r="R33" s="165"/>
      <c r="S33" s="165"/>
      <c r="T33" s="165"/>
      <c r="U33" s="165"/>
      <c r="V33" s="165"/>
      <c r="W33" s="165"/>
      <c r="X33" s="165"/>
      <c r="Y33" s="165"/>
      <c r="Z33" s="165"/>
      <c r="AA33" s="165"/>
      <c r="AB33" s="165"/>
      <c r="AC33" s="165"/>
      <c r="AD33" s="165"/>
      <c r="AE33" s="165"/>
      <c r="AF33" s="165"/>
      <c r="AG33" s="166"/>
    </row>
    <row r="34" spans="5:34" ht="15" thickBot="1">
      <c r="F34" s="37" t="s">
        <v>124</v>
      </c>
      <c r="G34" s="38" t="s">
        <v>9</v>
      </c>
      <c r="H34" s="39">
        <v>39</v>
      </c>
      <c r="I34" s="40" t="str">
        <f>"0x" &amp; DEC2HEX(H34,2)</f>
        <v>0x27</v>
      </c>
      <c r="J34" s="167"/>
      <c r="K34" s="168"/>
      <c r="L34" s="168"/>
      <c r="M34" s="168"/>
      <c r="N34" s="168"/>
      <c r="O34" s="168"/>
      <c r="P34" s="168"/>
      <c r="Q34" s="168"/>
      <c r="R34" s="168"/>
      <c r="S34" s="168"/>
      <c r="T34" s="168"/>
      <c r="U34" s="168"/>
      <c r="V34" s="168"/>
      <c r="W34" s="168"/>
      <c r="X34" s="168"/>
      <c r="Y34" s="168"/>
      <c r="Z34" s="168"/>
      <c r="AA34" s="168"/>
      <c r="AB34" s="168"/>
      <c r="AC34" s="168"/>
      <c r="AD34" s="168"/>
      <c r="AE34" s="168"/>
      <c r="AF34" s="168"/>
      <c r="AG34" s="169"/>
    </row>
    <row r="35" spans="5:34">
      <c r="F35" s="10" t="s">
        <v>35</v>
      </c>
      <c r="G35" s="7" t="s">
        <v>9</v>
      </c>
      <c r="H35" s="20">
        <v>40</v>
      </c>
      <c r="I35" s="8" t="str">
        <f>"0x" &amp; DEC2HEX(H35,2)</f>
        <v>0x28</v>
      </c>
      <c r="J35" s="11">
        <v>0</v>
      </c>
      <c r="K35" s="11">
        <v>0</v>
      </c>
      <c r="L35" s="11">
        <v>0</v>
      </c>
      <c r="M35" s="11">
        <v>0</v>
      </c>
      <c r="N35" s="11">
        <v>0</v>
      </c>
      <c r="O35" s="11">
        <v>0</v>
      </c>
      <c r="P35" s="11">
        <v>0</v>
      </c>
      <c r="Q35" s="11">
        <v>0</v>
      </c>
      <c r="R35" s="11">
        <v>0</v>
      </c>
      <c r="S35" s="11">
        <v>0</v>
      </c>
      <c r="T35" s="11">
        <v>0</v>
      </c>
      <c r="U35" s="11">
        <v>0</v>
      </c>
      <c r="V35" s="11">
        <v>0</v>
      </c>
      <c r="W35" s="11">
        <v>0</v>
      </c>
      <c r="X35" s="11">
        <v>0</v>
      </c>
      <c r="Y35" s="11">
        <v>0</v>
      </c>
      <c r="Z35" s="191" t="s">
        <v>33</v>
      </c>
      <c r="AA35" s="192"/>
      <c r="AB35" s="192"/>
      <c r="AC35" s="192"/>
      <c r="AD35" s="192"/>
      <c r="AE35" s="192"/>
      <c r="AF35" s="192"/>
      <c r="AG35" s="193"/>
      <c r="AH35" t="s">
        <v>156</v>
      </c>
    </row>
    <row r="36" spans="5:34">
      <c r="F36" s="10" t="s">
        <v>32</v>
      </c>
      <c r="G36" s="7" t="s">
        <v>34</v>
      </c>
      <c r="H36" s="20">
        <v>41</v>
      </c>
      <c r="I36" s="8" t="str">
        <f>"0x" &amp; DEC2HEX(H36,2)</f>
        <v>0x29</v>
      </c>
      <c r="J36" s="11">
        <v>0</v>
      </c>
      <c r="K36" s="11">
        <v>0</v>
      </c>
      <c r="L36" s="11">
        <v>0</v>
      </c>
      <c r="M36" s="11">
        <v>0</v>
      </c>
      <c r="N36" s="11">
        <v>0</v>
      </c>
      <c r="O36" s="11">
        <v>0</v>
      </c>
      <c r="P36" s="11">
        <v>0</v>
      </c>
      <c r="Q36" s="11">
        <v>0</v>
      </c>
      <c r="R36" s="11">
        <v>0</v>
      </c>
      <c r="S36" s="11">
        <v>0</v>
      </c>
      <c r="T36" s="11">
        <v>0</v>
      </c>
      <c r="U36" s="11">
        <v>0</v>
      </c>
      <c r="V36" s="11">
        <v>0</v>
      </c>
      <c r="W36" s="11">
        <v>0</v>
      </c>
      <c r="X36" s="11">
        <v>0</v>
      </c>
      <c r="Y36" s="11">
        <v>0</v>
      </c>
      <c r="Z36" s="11">
        <v>0</v>
      </c>
      <c r="AA36" s="11">
        <v>0</v>
      </c>
      <c r="AB36" s="11">
        <v>0</v>
      </c>
      <c r="AC36" s="11">
        <v>0</v>
      </c>
      <c r="AD36" s="11">
        <v>0</v>
      </c>
      <c r="AE36" s="11">
        <v>0</v>
      </c>
      <c r="AF36" s="11">
        <v>0</v>
      </c>
      <c r="AG36" s="8" t="s">
        <v>31</v>
      </c>
      <c r="AH36" t="s">
        <v>156</v>
      </c>
    </row>
    <row r="37" spans="5:34" ht="15">
      <c r="E37" s="3"/>
    </row>
    <row r="38" spans="5:34" ht="15">
      <c r="E38" s="3"/>
    </row>
    <row r="39" spans="5:34" ht="15.75" thickBot="1">
      <c r="E39" s="3"/>
    </row>
    <row r="40" spans="5:34" ht="15" thickBot="1">
      <c r="F40" s="153" t="s">
        <v>396</v>
      </c>
      <c r="G40" s="154"/>
      <c r="H40" s="154"/>
      <c r="I40" s="154"/>
      <c r="J40" s="154"/>
      <c r="K40" s="154"/>
      <c r="L40" s="154"/>
      <c r="M40" s="154"/>
      <c r="N40" s="154"/>
      <c r="O40" s="154"/>
      <c r="P40" s="154"/>
      <c r="Q40" s="154"/>
      <c r="R40" s="154"/>
      <c r="S40" s="154"/>
      <c r="T40" s="154"/>
      <c r="U40" s="154"/>
      <c r="V40" s="154"/>
      <c r="W40" s="154"/>
      <c r="X40" s="154"/>
      <c r="Y40" s="154"/>
      <c r="Z40" s="154"/>
      <c r="AA40" s="154"/>
      <c r="AB40" s="154"/>
      <c r="AC40" s="154"/>
      <c r="AD40" s="154"/>
      <c r="AE40" s="154"/>
      <c r="AF40" s="154"/>
      <c r="AG40" s="155"/>
    </row>
    <row r="41" spans="5:34">
      <c r="F41" s="88"/>
      <c r="G41" s="90">
        <v>31</v>
      </c>
      <c r="H41" s="89" t="s">
        <v>41</v>
      </c>
      <c r="I41" s="98" t="s">
        <v>8</v>
      </c>
      <c r="J41" s="88">
        <v>23</v>
      </c>
      <c r="K41" s="88">
        <v>22</v>
      </c>
      <c r="L41" s="88">
        <v>21</v>
      </c>
      <c r="M41" s="88">
        <v>20</v>
      </c>
      <c r="N41" s="88">
        <v>19</v>
      </c>
      <c r="O41" s="88">
        <v>18</v>
      </c>
      <c r="P41" s="88">
        <v>17</v>
      </c>
      <c r="Q41" s="88">
        <v>16</v>
      </c>
      <c r="R41" s="88">
        <v>15</v>
      </c>
      <c r="S41" s="88">
        <v>14</v>
      </c>
      <c r="T41" s="88">
        <v>13</v>
      </c>
      <c r="U41" s="88">
        <v>12</v>
      </c>
      <c r="V41" s="88">
        <v>11</v>
      </c>
      <c r="W41" s="88">
        <v>10</v>
      </c>
      <c r="X41" s="88">
        <v>9</v>
      </c>
      <c r="Y41" s="88">
        <v>8</v>
      </c>
      <c r="Z41" s="88">
        <v>7</v>
      </c>
      <c r="AA41" s="88">
        <v>6</v>
      </c>
      <c r="AB41" s="88">
        <v>5</v>
      </c>
      <c r="AC41" s="88">
        <v>4</v>
      </c>
      <c r="AD41" s="88">
        <v>3</v>
      </c>
      <c r="AE41" s="88">
        <v>2</v>
      </c>
      <c r="AF41" s="88">
        <v>1</v>
      </c>
      <c r="AG41" s="88">
        <v>0</v>
      </c>
    </row>
    <row r="42" spans="5:34">
      <c r="F42" s="4" t="s">
        <v>39</v>
      </c>
      <c r="G42" s="5" t="s">
        <v>9</v>
      </c>
      <c r="H42" s="18"/>
      <c r="I42" s="4" t="s">
        <v>6</v>
      </c>
      <c r="J42" s="152" t="s">
        <v>7</v>
      </c>
      <c r="K42" s="152"/>
      <c r="L42" s="152"/>
      <c r="M42" s="152"/>
      <c r="N42" s="152"/>
      <c r="O42" s="152"/>
      <c r="P42" s="152"/>
      <c r="Q42" s="152"/>
      <c r="R42" s="152"/>
      <c r="S42" s="152"/>
      <c r="T42" s="152"/>
      <c r="U42" s="152"/>
      <c r="V42" s="152"/>
      <c r="W42" s="152"/>
      <c r="X42" s="152"/>
      <c r="Y42" s="152"/>
      <c r="Z42" s="152"/>
      <c r="AA42" s="152"/>
      <c r="AB42" s="152"/>
      <c r="AC42" s="152"/>
      <c r="AD42" s="152"/>
      <c r="AE42" s="152"/>
      <c r="AF42" s="152"/>
      <c r="AG42" s="152"/>
    </row>
    <row r="43" spans="5:34">
      <c r="F43" s="6" t="s">
        <v>402</v>
      </c>
      <c r="G43" s="7" t="s">
        <v>321</v>
      </c>
      <c r="H43" s="20">
        <v>110</v>
      </c>
      <c r="I43" s="56" t="str">
        <f>"0x" &amp; DEC2HEX(H43,2)</f>
        <v>0x6E</v>
      </c>
      <c r="J43" s="107" t="s">
        <v>395</v>
      </c>
      <c r="K43" s="108"/>
      <c r="L43" s="108"/>
      <c r="M43" s="108"/>
      <c r="N43" s="108"/>
      <c r="O43" s="108"/>
      <c r="P43" s="108"/>
      <c r="Q43" s="108"/>
      <c r="R43" s="108"/>
      <c r="S43" s="108"/>
      <c r="T43" s="108"/>
      <c r="U43" s="108"/>
      <c r="V43" s="108"/>
      <c r="W43" s="108"/>
      <c r="X43" s="108"/>
      <c r="Y43" s="108"/>
      <c r="Z43" s="108"/>
      <c r="AA43" s="108"/>
      <c r="AB43" s="108"/>
      <c r="AC43" s="108"/>
      <c r="AD43" s="108"/>
      <c r="AE43" s="108"/>
      <c r="AF43" s="108"/>
      <c r="AG43" s="109"/>
    </row>
    <row r="44" spans="5:34">
      <c r="F44" s="6" t="s">
        <v>358</v>
      </c>
      <c r="G44" s="7" t="s">
        <v>321</v>
      </c>
      <c r="H44" s="20">
        <v>111</v>
      </c>
      <c r="I44" s="56" t="str">
        <f t="shared" ref="I44:I60" si="1">"0x" &amp; DEC2HEX(H44,2)</f>
        <v>0x6F</v>
      </c>
      <c r="J44" s="6">
        <v>0</v>
      </c>
      <c r="K44" s="107" t="s">
        <v>356</v>
      </c>
      <c r="L44" s="108"/>
      <c r="M44" s="108"/>
      <c r="N44" s="108"/>
      <c r="O44" s="108"/>
      <c r="P44" s="108"/>
      <c r="Q44" s="109"/>
      <c r="R44" s="108" t="s">
        <v>357</v>
      </c>
      <c r="S44" s="108"/>
      <c r="T44" s="108"/>
      <c r="U44" s="108"/>
      <c r="V44" s="108"/>
      <c r="W44" s="108"/>
      <c r="X44" s="108"/>
      <c r="Y44" s="108"/>
      <c r="Z44" s="108"/>
      <c r="AA44" s="108"/>
      <c r="AB44" s="108"/>
      <c r="AC44" s="108"/>
      <c r="AD44" s="108"/>
      <c r="AE44" s="108"/>
      <c r="AF44" s="108"/>
      <c r="AG44" s="109"/>
    </row>
    <row r="45" spans="5:34">
      <c r="F45" s="6" t="s">
        <v>359</v>
      </c>
      <c r="G45" s="7" t="s">
        <v>321</v>
      </c>
      <c r="H45" s="20">
        <v>112</v>
      </c>
      <c r="I45" s="56" t="str">
        <f t="shared" si="1"/>
        <v>0x70</v>
      </c>
      <c r="J45" s="6">
        <v>0</v>
      </c>
      <c r="K45" s="107" t="s">
        <v>356</v>
      </c>
      <c r="L45" s="108"/>
      <c r="M45" s="108"/>
      <c r="N45" s="108"/>
      <c r="O45" s="108"/>
      <c r="P45" s="108"/>
      <c r="Q45" s="109"/>
      <c r="R45" s="108" t="s">
        <v>357</v>
      </c>
      <c r="S45" s="108"/>
      <c r="T45" s="108"/>
      <c r="U45" s="108"/>
      <c r="V45" s="108"/>
      <c r="W45" s="108"/>
      <c r="X45" s="108"/>
      <c r="Y45" s="108"/>
      <c r="Z45" s="108"/>
      <c r="AA45" s="108"/>
      <c r="AB45" s="108"/>
      <c r="AC45" s="108"/>
      <c r="AD45" s="108"/>
      <c r="AE45" s="108"/>
      <c r="AF45" s="108"/>
      <c r="AG45" s="109"/>
    </row>
    <row r="46" spans="5:34">
      <c r="F46" s="6" t="s">
        <v>360</v>
      </c>
      <c r="G46" s="7" t="s">
        <v>321</v>
      </c>
      <c r="H46" s="20">
        <v>113</v>
      </c>
      <c r="I46" s="56" t="str">
        <f t="shared" si="1"/>
        <v>0x71</v>
      </c>
      <c r="J46" s="6">
        <v>0</v>
      </c>
      <c r="K46" s="107" t="s">
        <v>356</v>
      </c>
      <c r="L46" s="108"/>
      <c r="M46" s="108"/>
      <c r="N46" s="108"/>
      <c r="O46" s="108"/>
      <c r="P46" s="108"/>
      <c r="Q46" s="109"/>
      <c r="R46" s="108" t="s">
        <v>357</v>
      </c>
      <c r="S46" s="108"/>
      <c r="T46" s="108"/>
      <c r="U46" s="108"/>
      <c r="V46" s="108"/>
      <c r="W46" s="108"/>
      <c r="X46" s="108"/>
      <c r="Y46" s="108"/>
      <c r="Z46" s="108"/>
      <c r="AA46" s="108"/>
      <c r="AB46" s="108"/>
      <c r="AC46" s="108"/>
      <c r="AD46" s="108"/>
      <c r="AE46" s="108"/>
      <c r="AF46" s="108"/>
      <c r="AG46" s="109"/>
    </row>
    <row r="47" spans="5:34">
      <c r="F47" s="6" t="s">
        <v>361</v>
      </c>
      <c r="G47" s="7" t="s">
        <v>321</v>
      </c>
      <c r="H47" s="20">
        <v>114</v>
      </c>
      <c r="I47" s="56" t="str">
        <f t="shared" si="1"/>
        <v>0x72</v>
      </c>
      <c r="J47" s="6">
        <v>0</v>
      </c>
      <c r="K47" s="107" t="s">
        <v>356</v>
      </c>
      <c r="L47" s="108"/>
      <c r="M47" s="108"/>
      <c r="N47" s="108"/>
      <c r="O47" s="108"/>
      <c r="P47" s="108"/>
      <c r="Q47" s="109"/>
      <c r="R47" s="108" t="s">
        <v>357</v>
      </c>
      <c r="S47" s="108"/>
      <c r="T47" s="108"/>
      <c r="U47" s="108"/>
      <c r="V47" s="108"/>
      <c r="W47" s="108"/>
      <c r="X47" s="108"/>
      <c r="Y47" s="108"/>
      <c r="Z47" s="108"/>
      <c r="AA47" s="108"/>
      <c r="AB47" s="108"/>
      <c r="AC47" s="108"/>
      <c r="AD47" s="108"/>
      <c r="AE47" s="108"/>
      <c r="AF47" s="108"/>
      <c r="AG47" s="109"/>
    </row>
    <row r="48" spans="5:34">
      <c r="F48" s="6" t="s">
        <v>362</v>
      </c>
      <c r="G48" s="7" t="s">
        <v>321</v>
      </c>
      <c r="H48" s="20">
        <v>115</v>
      </c>
      <c r="I48" s="56" t="str">
        <f t="shared" si="1"/>
        <v>0x73</v>
      </c>
      <c r="J48" s="6">
        <v>0</v>
      </c>
      <c r="K48" s="107" t="s">
        <v>356</v>
      </c>
      <c r="L48" s="108"/>
      <c r="M48" s="108"/>
      <c r="N48" s="108"/>
      <c r="O48" s="108"/>
      <c r="P48" s="108"/>
      <c r="Q48" s="109"/>
      <c r="R48" s="108" t="s">
        <v>357</v>
      </c>
      <c r="S48" s="108"/>
      <c r="T48" s="108"/>
      <c r="U48" s="108"/>
      <c r="V48" s="108"/>
      <c r="W48" s="108"/>
      <c r="X48" s="108"/>
      <c r="Y48" s="108"/>
      <c r="Z48" s="108"/>
      <c r="AA48" s="108"/>
      <c r="AB48" s="108"/>
      <c r="AC48" s="108"/>
      <c r="AD48" s="108"/>
      <c r="AE48" s="108"/>
      <c r="AF48" s="108"/>
      <c r="AG48" s="109"/>
    </row>
    <row r="49" spans="6:33">
      <c r="F49" s="6" t="s">
        <v>363</v>
      </c>
      <c r="G49" s="7" t="s">
        <v>321</v>
      </c>
      <c r="H49" s="20">
        <v>116</v>
      </c>
      <c r="I49" s="56" t="str">
        <f t="shared" si="1"/>
        <v>0x74</v>
      </c>
      <c r="J49" s="6">
        <v>0</v>
      </c>
      <c r="K49" s="107" t="s">
        <v>356</v>
      </c>
      <c r="L49" s="108"/>
      <c r="M49" s="108"/>
      <c r="N49" s="108"/>
      <c r="O49" s="108"/>
      <c r="P49" s="108"/>
      <c r="Q49" s="109"/>
      <c r="R49" s="108" t="s">
        <v>357</v>
      </c>
      <c r="S49" s="108"/>
      <c r="T49" s="108"/>
      <c r="U49" s="108"/>
      <c r="V49" s="108"/>
      <c r="W49" s="108"/>
      <c r="X49" s="108"/>
      <c r="Y49" s="108"/>
      <c r="Z49" s="108"/>
      <c r="AA49" s="108"/>
      <c r="AB49" s="108"/>
      <c r="AC49" s="108"/>
      <c r="AD49" s="108"/>
      <c r="AE49" s="108"/>
      <c r="AF49" s="108"/>
      <c r="AG49" s="109"/>
    </row>
    <row r="50" spans="6:33">
      <c r="F50" s="6" t="s">
        <v>364</v>
      </c>
      <c r="G50" s="7" t="s">
        <v>321</v>
      </c>
      <c r="H50" s="20">
        <v>117</v>
      </c>
      <c r="I50" s="56" t="str">
        <f t="shared" si="1"/>
        <v>0x75</v>
      </c>
      <c r="J50" s="6">
        <v>0</v>
      </c>
      <c r="K50" s="107" t="s">
        <v>356</v>
      </c>
      <c r="L50" s="108"/>
      <c r="M50" s="108"/>
      <c r="N50" s="108"/>
      <c r="O50" s="108"/>
      <c r="P50" s="108"/>
      <c r="Q50" s="109"/>
      <c r="R50" s="108" t="s">
        <v>357</v>
      </c>
      <c r="S50" s="108"/>
      <c r="T50" s="108"/>
      <c r="U50" s="108"/>
      <c r="V50" s="108"/>
      <c r="W50" s="108"/>
      <c r="X50" s="108"/>
      <c r="Y50" s="108"/>
      <c r="Z50" s="108"/>
      <c r="AA50" s="108"/>
      <c r="AB50" s="108"/>
      <c r="AC50" s="108"/>
      <c r="AD50" s="108"/>
      <c r="AE50" s="108"/>
      <c r="AF50" s="108"/>
      <c r="AG50" s="109"/>
    </row>
    <row r="51" spans="6:33">
      <c r="F51" s="6" t="s">
        <v>365</v>
      </c>
      <c r="G51" s="7" t="s">
        <v>321</v>
      </c>
      <c r="H51" s="20">
        <v>118</v>
      </c>
      <c r="I51" s="56" t="str">
        <f t="shared" si="1"/>
        <v>0x76</v>
      </c>
      <c r="J51" s="6">
        <v>0</v>
      </c>
      <c r="K51" s="107" t="s">
        <v>356</v>
      </c>
      <c r="L51" s="108"/>
      <c r="M51" s="108"/>
      <c r="N51" s="108"/>
      <c r="O51" s="108"/>
      <c r="P51" s="108"/>
      <c r="Q51" s="109"/>
      <c r="R51" s="108" t="s">
        <v>357</v>
      </c>
      <c r="S51" s="108"/>
      <c r="T51" s="108"/>
      <c r="U51" s="108"/>
      <c r="V51" s="108"/>
      <c r="W51" s="108"/>
      <c r="X51" s="108"/>
      <c r="Y51" s="108"/>
      <c r="Z51" s="108"/>
      <c r="AA51" s="108"/>
      <c r="AB51" s="108"/>
      <c r="AC51" s="108"/>
      <c r="AD51" s="108"/>
      <c r="AE51" s="108"/>
      <c r="AF51" s="108"/>
      <c r="AG51" s="109"/>
    </row>
    <row r="52" spans="6:33">
      <c r="F52" s="6" t="s">
        <v>366</v>
      </c>
      <c r="G52" s="7" t="s">
        <v>321</v>
      </c>
      <c r="H52" s="20">
        <v>119</v>
      </c>
      <c r="I52" s="56" t="str">
        <f t="shared" si="1"/>
        <v>0x77</v>
      </c>
      <c r="J52" s="6">
        <v>0</v>
      </c>
      <c r="K52" s="107" t="s">
        <v>356</v>
      </c>
      <c r="L52" s="108"/>
      <c r="M52" s="108"/>
      <c r="N52" s="108"/>
      <c r="O52" s="108"/>
      <c r="P52" s="108"/>
      <c r="Q52" s="109"/>
      <c r="R52" s="108" t="s">
        <v>357</v>
      </c>
      <c r="S52" s="108"/>
      <c r="T52" s="108"/>
      <c r="U52" s="108"/>
      <c r="V52" s="108"/>
      <c r="W52" s="108"/>
      <c r="X52" s="108"/>
      <c r="Y52" s="108"/>
      <c r="Z52" s="108"/>
      <c r="AA52" s="108"/>
      <c r="AB52" s="108"/>
      <c r="AC52" s="108"/>
      <c r="AD52" s="108"/>
      <c r="AE52" s="108"/>
      <c r="AF52" s="108"/>
      <c r="AG52" s="109"/>
    </row>
    <row r="53" spans="6:33">
      <c r="F53" s="6" t="s">
        <v>367</v>
      </c>
      <c r="G53" s="7" t="s">
        <v>321</v>
      </c>
      <c r="H53" s="20">
        <v>120</v>
      </c>
      <c r="I53" s="56" t="str">
        <f t="shared" si="1"/>
        <v>0x78</v>
      </c>
      <c r="J53" s="6">
        <v>0</v>
      </c>
      <c r="K53" s="107" t="s">
        <v>356</v>
      </c>
      <c r="L53" s="108"/>
      <c r="M53" s="108"/>
      <c r="N53" s="108"/>
      <c r="O53" s="108"/>
      <c r="P53" s="108"/>
      <c r="Q53" s="109"/>
      <c r="R53" s="108" t="s">
        <v>357</v>
      </c>
      <c r="S53" s="108"/>
      <c r="T53" s="108"/>
      <c r="U53" s="108"/>
      <c r="V53" s="108"/>
      <c r="W53" s="108"/>
      <c r="X53" s="108"/>
      <c r="Y53" s="108"/>
      <c r="Z53" s="108"/>
      <c r="AA53" s="108"/>
      <c r="AB53" s="108"/>
      <c r="AC53" s="108"/>
      <c r="AD53" s="108"/>
      <c r="AE53" s="108"/>
      <c r="AF53" s="108"/>
      <c r="AG53" s="109"/>
    </row>
    <row r="54" spans="6:33">
      <c r="F54" s="6" t="s">
        <v>368</v>
      </c>
      <c r="G54" s="7" t="s">
        <v>321</v>
      </c>
      <c r="H54" s="20">
        <v>121</v>
      </c>
      <c r="I54" s="56" t="str">
        <f t="shared" si="1"/>
        <v>0x79</v>
      </c>
      <c r="J54" s="6">
        <v>0</v>
      </c>
      <c r="K54" s="107" t="s">
        <v>356</v>
      </c>
      <c r="L54" s="108"/>
      <c r="M54" s="108"/>
      <c r="N54" s="108"/>
      <c r="O54" s="108"/>
      <c r="P54" s="108"/>
      <c r="Q54" s="109"/>
      <c r="R54" s="108" t="s">
        <v>357</v>
      </c>
      <c r="S54" s="108"/>
      <c r="T54" s="108"/>
      <c r="U54" s="108"/>
      <c r="V54" s="108"/>
      <c r="W54" s="108"/>
      <c r="X54" s="108"/>
      <c r="Y54" s="108"/>
      <c r="Z54" s="108"/>
      <c r="AA54" s="108"/>
      <c r="AB54" s="108"/>
      <c r="AC54" s="108"/>
      <c r="AD54" s="108"/>
      <c r="AE54" s="108"/>
      <c r="AF54" s="108"/>
      <c r="AG54" s="109"/>
    </row>
    <row r="55" spans="6:33">
      <c r="F55" s="6" t="s">
        <v>369</v>
      </c>
      <c r="G55" s="7" t="s">
        <v>321</v>
      </c>
      <c r="H55" s="20">
        <v>122</v>
      </c>
      <c r="I55" s="56" t="str">
        <f t="shared" si="1"/>
        <v>0x7A</v>
      </c>
      <c r="J55" s="6">
        <v>0</v>
      </c>
      <c r="K55" s="107" t="s">
        <v>356</v>
      </c>
      <c r="L55" s="108"/>
      <c r="M55" s="108"/>
      <c r="N55" s="108"/>
      <c r="O55" s="108"/>
      <c r="P55" s="108"/>
      <c r="Q55" s="109"/>
      <c r="R55" s="108" t="s">
        <v>357</v>
      </c>
      <c r="S55" s="108"/>
      <c r="T55" s="108"/>
      <c r="U55" s="108"/>
      <c r="V55" s="108"/>
      <c r="W55" s="108"/>
      <c r="X55" s="108"/>
      <c r="Y55" s="108"/>
      <c r="Z55" s="108"/>
      <c r="AA55" s="108"/>
      <c r="AB55" s="108"/>
      <c r="AC55" s="108"/>
      <c r="AD55" s="108"/>
      <c r="AE55" s="108"/>
      <c r="AF55" s="108"/>
      <c r="AG55" s="109"/>
    </row>
    <row r="56" spans="6:33">
      <c r="F56" s="6" t="s">
        <v>397</v>
      </c>
      <c r="G56" s="7" t="s">
        <v>321</v>
      </c>
      <c r="H56" s="20">
        <v>123</v>
      </c>
      <c r="I56" s="56" t="str">
        <f t="shared" si="1"/>
        <v>0x7B</v>
      </c>
      <c r="J56" s="6">
        <v>0</v>
      </c>
      <c r="K56" s="6">
        <v>0</v>
      </c>
      <c r="L56" s="6">
        <v>0</v>
      </c>
      <c r="M56" s="6">
        <v>0</v>
      </c>
      <c r="N56" s="110" t="s">
        <v>393</v>
      </c>
      <c r="O56" s="111"/>
      <c r="P56" s="111"/>
      <c r="Q56" s="111"/>
      <c r="R56" s="111"/>
      <c r="S56" s="111"/>
      <c r="T56" s="111"/>
      <c r="U56" s="111"/>
      <c r="V56" s="111"/>
      <c r="W56" s="111"/>
      <c r="X56" s="111"/>
      <c r="Y56" s="111"/>
      <c r="Z56" s="111"/>
      <c r="AA56" s="111"/>
      <c r="AB56" s="111"/>
      <c r="AC56" s="111"/>
      <c r="AD56" s="111"/>
      <c r="AE56" s="111"/>
      <c r="AF56" s="111"/>
      <c r="AG56" s="112"/>
    </row>
    <row r="57" spans="6:33" ht="24.75">
      <c r="F57" s="6" t="s">
        <v>378</v>
      </c>
      <c r="G57" s="7" t="s">
        <v>379</v>
      </c>
      <c r="H57" s="20">
        <v>124</v>
      </c>
      <c r="I57" s="56" t="str">
        <f t="shared" si="1"/>
        <v>0x7C</v>
      </c>
      <c r="J57" s="107" t="s">
        <v>330</v>
      </c>
      <c r="K57" s="108"/>
      <c r="L57" s="108"/>
      <c r="M57" s="108"/>
      <c r="N57" s="108"/>
      <c r="O57" s="108"/>
      <c r="P57" s="108"/>
      <c r="Q57" s="108"/>
      <c r="R57" s="108"/>
      <c r="S57" s="108"/>
      <c r="T57" s="108"/>
      <c r="U57" s="108"/>
      <c r="V57" s="108"/>
      <c r="W57" s="108"/>
      <c r="X57" s="108"/>
      <c r="Y57" s="108"/>
      <c r="Z57" s="108"/>
      <c r="AA57" s="108"/>
      <c r="AB57" s="108"/>
      <c r="AC57" s="108"/>
      <c r="AD57" s="108"/>
      <c r="AE57" s="108"/>
      <c r="AF57" s="109"/>
      <c r="AG57" s="100" t="s">
        <v>381</v>
      </c>
    </row>
    <row r="58" spans="6:33">
      <c r="F58" s="6" t="s">
        <v>398</v>
      </c>
      <c r="G58" s="7" t="s">
        <v>321</v>
      </c>
      <c r="H58" s="20">
        <v>125</v>
      </c>
      <c r="I58" s="56" t="str">
        <f t="shared" si="1"/>
        <v>0x7D</v>
      </c>
      <c r="J58" s="107" t="s">
        <v>400</v>
      </c>
      <c r="K58" s="108"/>
      <c r="L58" s="108"/>
      <c r="M58" s="108"/>
      <c r="N58" s="108"/>
      <c r="O58" s="108"/>
      <c r="P58" s="108"/>
      <c r="Q58" s="108"/>
      <c r="R58" s="108"/>
      <c r="S58" s="108"/>
      <c r="T58" s="108"/>
      <c r="U58" s="108"/>
      <c r="V58" s="108"/>
      <c r="W58" s="108"/>
      <c r="X58" s="108"/>
      <c r="Y58" s="108"/>
      <c r="Z58" s="108"/>
      <c r="AA58" s="108"/>
      <c r="AB58" s="108"/>
      <c r="AC58" s="108"/>
      <c r="AD58" s="108"/>
      <c r="AE58" s="108"/>
      <c r="AF58" s="108"/>
      <c r="AG58" s="109"/>
    </row>
    <row r="59" spans="6:33" ht="17.45" customHeight="1">
      <c r="F59" s="6" t="s">
        <v>380</v>
      </c>
      <c r="G59" s="7" t="s">
        <v>379</v>
      </c>
      <c r="H59" s="20">
        <v>126</v>
      </c>
      <c r="I59" s="56" t="str">
        <f t="shared" si="1"/>
        <v>0x7E</v>
      </c>
      <c r="J59" s="107" t="s">
        <v>330</v>
      </c>
      <c r="K59" s="108"/>
      <c r="L59" s="108"/>
      <c r="M59" s="108"/>
      <c r="N59" s="108"/>
      <c r="O59" s="108"/>
      <c r="P59" s="108"/>
      <c r="Q59" s="108"/>
      <c r="R59" s="108"/>
      <c r="S59" s="108"/>
      <c r="T59" s="108"/>
      <c r="U59" s="108"/>
      <c r="V59" s="108"/>
      <c r="W59" s="108"/>
      <c r="X59" s="108"/>
      <c r="Y59" s="108"/>
      <c r="Z59" s="108"/>
      <c r="AA59" s="108"/>
      <c r="AB59" s="108"/>
      <c r="AC59" s="108"/>
      <c r="AD59" s="108"/>
      <c r="AE59" s="108"/>
      <c r="AF59" s="109"/>
      <c r="AG59" s="100" t="s">
        <v>381</v>
      </c>
    </row>
    <row r="60" spans="6:33">
      <c r="F60" s="6" t="s">
        <v>399</v>
      </c>
      <c r="G60" s="99" t="s">
        <v>322</v>
      </c>
      <c r="H60" s="20">
        <v>127</v>
      </c>
      <c r="I60" s="56" t="str">
        <f t="shared" si="1"/>
        <v>0x7F</v>
      </c>
      <c r="J60" s="107" t="s">
        <v>401</v>
      </c>
      <c r="K60" s="108"/>
      <c r="L60" s="108"/>
      <c r="M60" s="108"/>
      <c r="N60" s="108"/>
      <c r="O60" s="108"/>
      <c r="P60" s="108"/>
      <c r="Q60" s="108"/>
      <c r="R60" s="108"/>
      <c r="S60" s="108"/>
      <c r="T60" s="108"/>
      <c r="U60" s="108"/>
      <c r="V60" s="108"/>
      <c r="W60" s="108"/>
      <c r="X60" s="108"/>
      <c r="Y60" s="108"/>
      <c r="Z60" s="108"/>
      <c r="AA60" s="108"/>
      <c r="AB60" s="108"/>
      <c r="AC60" s="108"/>
      <c r="AD60" s="108"/>
      <c r="AE60" s="108"/>
      <c r="AF60" s="108"/>
      <c r="AG60" s="109"/>
    </row>
  </sheetData>
  <mergeCells count="63">
    <mergeCell ref="J29:AG31"/>
    <mergeCell ref="F30:I30"/>
    <mergeCell ref="J32:AG34"/>
    <mergeCell ref="F33:I33"/>
    <mergeCell ref="Z35:AG35"/>
    <mergeCell ref="F21:I21"/>
    <mergeCell ref="J23:AG25"/>
    <mergeCell ref="F24:I24"/>
    <mergeCell ref="J26:AG28"/>
    <mergeCell ref="F27:I27"/>
    <mergeCell ref="J20:AG22"/>
    <mergeCell ref="J17:AG19"/>
    <mergeCell ref="F18:I18"/>
    <mergeCell ref="J11:AG13"/>
    <mergeCell ref="Z9:AE9"/>
    <mergeCell ref="N9:Y9"/>
    <mergeCell ref="X10:AG10"/>
    <mergeCell ref="R10:W10"/>
    <mergeCell ref="J42:AG42"/>
    <mergeCell ref="F40:AG40"/>
    <mergeCell ref="J43:AG43"/>
    <mergeCell ref="J2:AG2"/>
    <mergeCell ref="AF9:AG9"/>
    <mergeCell ref="J3:Q3"/>
    <mergeCell ref="S3:T3"/>
    <mergeCell ref="J4:Q4"/>
    <mergeCell ref="S4:W4"/>
    <mergeCell ref="X4:AA4"/>
    <mergeCell ref="AB4:AG4"/>
    <mergeCell ref="J6:AG6"/>
    <mergeCell ref="F12:I12"/>
    <mergeCell ref="J14:AG16"/>
    <mergeCell ref="F15:I15"/>
    <mergeCell ref="N5:AG5"/>
    <mergeCell ref="K44:Q44"/>
    <mergeCell ref="R44:AG44"/>
    <mergeCell ref="K45:Q45"/>
    <mergeCell ref="R45:AG45"/>
    <mergeCell ref="K46:Q46"/>
    <mergeCell ref="R46:AG46"/>
    <mergeCell ref="K47:Q47"/>
    <mergeCell ref="R47:AG47"/>
    <mergeCell ref="K48:Q48"/>
    <mergeCell ref="R48:AG48"/>
    <mergeCell ref="K49:Q49"/>
    <mergeCell ref="R49:AG49"/>
    <mergeCell ref="K50:Q50"/>
    <mergeCell ref="R50:AG50"/>
    <mergeCell ref="K51:Q51"/>
    <mergeCell ref="R51:AG51"/>
    <mergeCell ref="K52:Q52"/>
    <mergeCell ref="R52:AG52"/>
    <mergeCell ref="K53:Q53"/>
    <mergeCell ref="R53:AG53"/>
    <mergeCell ref="K54:Q54"/>
    <mergeCell ref="R54:AG54"/>
    <mergeCell ref="K55:Q55"/>
    <mergeCell ref="R55:AG55"/>
    <mergeCell ref="J59:AF59"/>
    <mergeCell ref="J60:AG60"/>
    <mergeCell ref="N56:AG56"/>
    <mergeCell ref="J57:AF57"/>
    <mergeCell ref="J58:AG58"/>
  </mergeCells>
  <phoneticPr fontId="1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0968A-9254-4B5C-860F-50DE18FD7E92}">
  <dimension ref="E1:AM28"/>
  <sheetViews>
    <sheetView topLeftCell="E1" zoomScale="55" zoomScaleNormal="55" workbookViewId="0">
      <selection activeCell="Y15" sqref="Y15"/>
    </sheetView>
  </sheetViews>
  <sheetFormatPr defaultRowHeight="14.25"/>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5" max="35" width="12.875" customWidth="1"/>
    <col min="36" max="36" width="15.625" style="1" customWidth="1"/>
    <col min="37" max="37" width="60.25" customWidth="1"/>
    <col min="38" max="38" width="44.125" customWidth="1"/>
    <col min="39" max="39" width="21" customWidth="1"/>
  </cols>
  <sheetData>
    <row r="1" spans="5:38">
      <c r="F1" s="12"/>
      <c r="G1" s="13">
        <v>31</v>
      </c>
      <c r="H1" s="17" t="s">
        <v>41</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8">
      <c r="F2" s="4" t="s">
        <v>39</v>
      </c>
      <c r="G2" s="5" t="s">
        <v>9</v>
      </c>
      <c r="H2" s="18"/>
      <c r="I2" s="4" t="s">
        <v>6</v>
      </c>
      <c r="J2" s="152" t="s">
        <v>7</v>
      </c>
      <c r="K2" s="152"/>
      <c r="L2" s="152"/>
      <c r="M2" s="152"/>
      <c r="N2" s="152"/>
      <c r="O2" s="152"/>
      <c r="P2" s="152"/>
      <c r="Q2" s="152"/>
      <c r="R2" s="152"/>
      <c r="S2" s="152"/>
      <c r="T2" s="152"/>
      <c r="U2" s="152"/>
      <c r="V2" s="152"/>
      <c r="W2" s="152"/>
      <c r="X2" s="152"/>
      <c r="Y2" s="152"/>
      <c r="Z2" s="152"/>
      <c r="AA2" s="152"/>
      <c r="AB2" s="152"/>
      <c r="AC2" s="152"/>
      <c r="AD2" s="152"/>
      <c r="AE2" s="152"/>
      <c r="AF2" s="152"/>
      <c r="AG2" s="152"/>
    </row>
    <row r="3" spans="5:38" ht="76.5" customHeight="1">
      <c r="E3" s="3"/>
      <c r="F3" s="6" t="s">
        <v>10</v>
      </c>
      <c r="G3" s="7" t="s">
        <v>28</v>
      </c>
      <c r="H3" s="20">
        <v>0</v>
      </c>
      <c r="I3" s="8" t="str">
        <f t="shared" ref="I3" si="0">"0x" &amp; DEC2HEX(H3,2)</f>
        <v>0x00</v>
      </c>
      <c r="J3" s="156" t="s">
        <v>23</v>
      </c>
      <c r="K3" s="156"/>
      <c r="L3" s="156"/>
      <c r="M3" s="156"/>
      <c r="N3" s="156"/>
      <c r="O3" s="156"/>
      <c r="P3" s="156"/>
      <c r="Q3" s="156"/>
      <c r="R3" s="15" t="s">
        <v>151</v>
      </c>
      <c r="S3" s="156" t="s">
        <v>49</v>
      </c>
      <c r="T3" s="156"/>
      <c r="U3" s="15" t="s">
        <v>36</v>
      </c>
      <c r="V3" s="15" t="s">
        <v>308</v>
      </c>
      <c r="W3" s="15" t="s">
        <v>52</v>
      </c>
      <c r="X3" s="15" t="s">
        <v>20</v>
      </c>
      <c r="Y3" s="15" t="s">
        <v>19</v>
      </c>
      <c r="Z3" s="15" t="s">
        <v>18</v>
      </c>
      <c r="AA3" s="15" t="s">
        <v>17</v>
      </c>
      <c r="AB3" s="15" t="s">
        <v>16</v>
      </c>
      <c r="AC3" s="15" t="s">
        <v>15</v>
      </c>
      <c r="AD3" s="15" t="s">
        <v>14</v>
      </c>
      <c r="AE3" s="15" t="s">
        <v>13</v>
      </c>
      <c r="AF3" s="15" t="s">
        <v>12</v>
      </c>
      <c r="AG3" s="15" t="s">
        <v>11</v>
      </c>
    </row>
    <row r="4" spans="5:38" ht="15">
      <c r="E4" s="3"/>
    </row>
    <row r="5" spans="5:38" ht="30" customHeight="1" thickBot="1"/>
    <row r="6" spans="5:38" ht="27" customHeight="1" thickBot="1">
      <c r="AI6" s="57" t="s">
        <v>192</v>
      </c>
      <c r="AJ6" s="68" t="s">
        <v>193</v>
      </c>
      <c r="AK6" s="58" t="s">
        <v>71</v>
      </c>
      <c r="AL6" s="59" t="s">
        <v>194</v>
      </c>
    </row>
    <row r="7" spans="5:38" ht="15.75" thickBot="1">
      <c r="AI7" s="60" t="s">
        <v>9</v>
      </c>
      <c r="AJ7" s="69">
        <v>31</v>
      </c>
      <c r="AK7" s="61" t="s">
        <v>195</v>
      </c>
      <c r="AL7" s="62" t="s">
        <v>196</v>
      </c>
    </row>
    <row r="8" spans="5:38" ht="15.75" thickBot="1">
      <c r="AI8" s="63" t="s">
        <v>197</v>
      </c>
      <c r="AJ8" s="70" t="s">
        <v>224</v>
      </c>
      <c r="AK8" s="64" t="s">
        <v>198</v>
      </c>
      <c r="AL8" s="65" t="s">
        <v>54</v>
      </c>
    </row>
    <row r="9" spans="5:38">
      <c r="AI9" s="194" t="s">
        <v>23</v>
      </c>
      <c r="AJ9" s="196" t="s">
        <v>225</v>
      </c>
      <c r="AK9" s="198" t="s">
        <v>199</v>
      </c>
      <c r="AL9" s="66" t="s">
        <v>200</v>
      </c>
    </row>
    <row r="10" spans="5:38" ht="15" thickBot="1">
      <c r="AI10" s="195"/>
      <c r="AJ10" s="197"/>
      <c r="AK10" s="199"/>
      <c r="AL10" s="62" t="s">
        <v>201</v>
      </c>
    </row>
    <row r="11" spans="5:38">
      <c r="AI11" s="200" t="s">
        <v>151</v>
      </c>
      <c r="AJ11" s="202">
        <v>15</v>
      </c>
      <c r="AK11" s="204" t="s">
        <v>202</v>
      </c>
      <c r="AL11" s="67" t="s">
        <v>203</v>
      </c>
    </row>
    <row r="12" spans="5:38" ht="15" thickBot="1">
      <c r="AI12" s="201"/>
      <c r="AJ12" s="203"/>
      <c r="AK12" s="205"/>
      <c r="AL12" s="65" t="s">
        <v>204</v>
      </c>
    </row>
    <row r="13" spans="5:38">
      <c r="AI13" s="194" t="s">
        <v>49</v>
      </c>
      <c r="AJ13" s="196" t="s">
        <v>226</v>
      </c>
      <c r="AK13" s="198" t="s">
        <v>205</v>
      </c>
      <c r="AL13" s="66" t="s">
        <v>206</v>
      </c>
    </row>
    <row r="14" spans="5:38">
      <c r="AI14" s="206"/>
      <c r="AJ14" s="207"/>
      <c r="AK14" s="208"/>
      <c r="AL14" s="66" t="s">
        <v>207</v>
      </c>
    </row>
    <row r="15" spans="5:38" ht="15" thickBot="1">
      <c r="AI15" s="195"/>
      <c r="AJ15" s="197"/>
      <c r="AK15" s="199"/>
      <c r="AL15" s="62" t="s">
        <v>208</v>
      </c>
    </row>
    <row r="16" spans="5:38" ht="43.5" thickBot="1">
      <c r="AI16" s="63" t="s">
        <v>36</v>
      </c>
      <c r="AJ16" s="70">
        <v>12</v>
      </c>
      <c r="AK16" s="64" t="s">
        <v>209</v>
      </c>
      <c r="AL16" s="65"/>
    </row>
    <row r="17" spans="35:39" ht="15.75" thickBot="1">
      <c r="AI17" s="60" t="s">
        <v>308</v>
      </c>
      <c r="AJ17" s="69">
        <v>11</v>
      </c>
      <c r="AK17" s="61" t="s">
        <v>310</v>
      </c>
      <c r="AL17" s="65" t="s">
        <v>211</v>
      </c>
      <c r="AM17" s="82" t="s">
        <v>309</v>
      </c>
    </row>
    <row r="18" spans="35:39" ht="15.75" thickBot="1">
      <c r="AI18" s="63" t="s">
        <v>52</v>
      </c>
      <c r="AJ18" s="70">
        <v>10</v>
      </c>
      <c r="AK18" s="64" t="s">
        <v>210</v>
      </c>
      <c r="AL18" s="65" t="s">
        <v>211</v>
      </c>
    </row>
    <row r="19" spans="35:39" ht="15.75" thickBot="1">
      <c r="AI19" s="60" t="s">
        <v>20</v>
      </c>
      <c r="AJ19" s="69">
        <v>9</v>
      </c>
      <c r="AK19" s="61" t="s">
        <v>212</v>
      </c>
      <c r="AL19" s="62" t="s">
        <v>211</v>
      </c>
    </row>
    <row r="20" spans="35:39" ht="15.75" thickBot="1">
      <c r="AI20" s="63" t="s">
        <v>19</v>
      </c>
      <c r="AJ20" s="70">
        <v>8</v>
      </c>
      <c r="AK20" s="64" t="s">
        <v>213</v>
      </c>
      <c r="AL20" s="65" t="s">
        <v>211</v>
      </c>
    </row>
    <row r="21" spans="35:39" ht="15.75" thickBot="1">
      <c r="AI21" s="60" t="s">
        <v>18</v>
      </c>
      <c r="AJ21" s="69">
        <v>7</v>
      </c>
      <c r="AK21" s="61" t="s">
        <v>214</v>
      </c>
      <c r="AL21" s="62" t="s">
        <v>211</v>
      </c>
    </row>
    <row r="22" spans="35:39" ht="15.75" thickBot="1">
      <c r="AI22" s="63" t="s">
        <v>17</v>
      </c>
      <c r="AJ22" s="70">
        <v>6</v>
      </c>
      <c r="AK22" s="64" t="s">
        <v>215</v>
      </c>
      <c r="AL22" s="65" t="s">
        <v>211</v>
      </c>
    </row>
    <row r="23" spans="35:39" ht="15.75" thickBot="1">
      <c r="AI23" s="60" t="s">
        <v>216</v>
      </c>
      <c r="AJ23" s="69">
        <v>5</v>
      </c>
      <c r="AK23" s="61" t="s">
        <v>217</v>
      </c>
      <c r="AL23" s="62" t="s">
        <v>211</v>
      </c>
    </row>
    <row r="24" spans="35:39" ht="15.75" thickBot="1">
      <c r="AI24" s="63" t="s">
        <v>218</v>
      </c>
      <c r="AJ24" s="70">
        <v>4</v>
      </c>
      <c r="AK24" s="64" t="s">
        <v>219</v>
      </c>
      <c r="AL24" s="65" t="s">
        <v>211</v>
      </c>
    </row>
    <row r="25" spans="35:39" ht="15.75" thickBot="1">
      <c r="AI25" s="60" t="s">
        <v>14</v>
      </c>
      <c r="AJ25" s="69">
        <v>3</v>
      </c>
      <c r="AK25" s="61" t="s">
        <v>220</v>
      </c>
      <c r="AL25" s="62" t="s">
        <v>211</v>
      </c>
    </row>
    <row r="26" spans="35:39" ht="15.75" thickBot="1">
      <c r="AI26" s="63" t="s">
        <v>13</v>
      </c>
      <c r="AJ26" s="70">
        <v>2</v>
      </c>
      <c r="AK26" s="64" t="s">
        <v>221</v>
      </c>
      <c r="AL26" s="65" t="s">
        <v>211</v>
      </c>
    </row>
    <row r="27" spans="35:39" ht="15.75" thickBot="1">
      <c r="AI27" s="60" t="s">
        <v>12</v>
      </c>
      <c r="AJ27" s="69">
        <v>1</v>
      </c>
      <c r="AK27" s="61" t="s">
        <v>222</v>
      </c>
      <c r="AL27" s="62" t="s">
        <v>211</v>
      </c>
    </row>
    <row r="28" spans="35:39" ht="15.75" thickBot="1">
      <c r="AI28" s="63" t="s">
        <v>11</v>
      </c>
      <c r="AJ28" s="70">
        <v>0</v>
      </c>
      <c r="AK28" s="64" t="s">
        <v>223</v>
      </c>
      <c r="AL28" s="65" t="s">
        <v>211</v>
      </c>
    </row>
  </sheetData>
  <mergeCells count="12">
    <mergeCell ref="AK9:AK10"/>
    <mergeCell ref="AI11:AI12"/>
    <mergeCell ref="AJ11:AJ12"/>
    <mergeCell ref="AK11:AK12"/>
    <mergeCell ref="AI13:AI15"/>
    <mergeCell ref="AJ13:AJ15"/>
    <mergeCell ref="AK13:AK15"/>
    <mergeCell ref="J3:Q3"/>
    <mergeCell ref="S3:T3"/>
    <mergeCell ref="J2:AG2"/>
    <mergeCell ref="AI9:AI10"/>
    <mergeCell ref="AJ9:AJ10"/>
  </mergeCells>
  <phoneticPr fontId="1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82DA5-9A9F-45C1-86C7-1EF3D11BEADD}">
  <dimension ref="E1:AJ4"/>
  <sheetViews>
    <sheetView topLeftCell="F1" zoomScale="70" zoomScaleNormal="70" workbookViewId="0">
      <selection activeCell="P42" sqref="P42"/>
    </sheetView>
  </sheetViews>
  <sheetFormatPr defaultRowHeight="14.25"/>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5" max="35" width="12.875" customWidth="1"/>
    <col min="36" max="36" width="15.625" style="1" customWidth="1"/>
    <col min="37" max="37" width="60.25" customWidth="1"/>
    <col min="38" max="38" width="44.125" customWidth="1"/>
  </cols>
  <sheetData>
    <row r="1" spans="5:33">
      <c r="F1" s="12"/>
      <c r="G1" s="13">
        <v>31</v>
      </c>
      <c r="H1" s="17" t="s">
        <v>41</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3">
      <c r="F2" s="4" t="s">
        <v>39</v>
      </c>
      <c r="G2" s="5" t="s">
        <v>9</v>
      </c>
      <c r="H2" s="18"/>
      <c r="I2" s="4" t="s">
        <v>6</v>
      </c>
      <c r="J2" s="152" t="s">
        <v>7</v>
      </c>
      <c r="K2" s="152"/>
      <c r="L2" s="152"/>
      <c r="M2" s="152"/>
      <c r="N2" s="152"/>
      <c r="O2" s="152"/>
      <c r="P2" s="152"/>
      <c r="Q2" s="152"/>
      <c r="R2" s="152"/>
      <c r="S2" s="152"/>
      <c r="T2" s="152"/>
      <c r="U2" s="152"/>
      <c r="V2" s="152"/>
      <c r="W2" s="152"/>
      <c r="X2" s="152"/>
      <c r="Y2" s="152"/>
      <c r="Z2" s="152"/>
      <c r="AA2" s="152"/>
      <c r="AB2" s="152"/>
      <c r="AC2" s="152"/>
      <c r="AD2" s="152"/>
      <c r="AE2" s="152"/>
      <c r="AF2" s="152"/>
      <c r="AG2" s="152"/>
    </row>
    <row r="3" spans="5:33" ht="51.75" customHeight="1">
      <c r="E3" s="3"/>
      <c r="F3" s="6" t="s">
        <v>37</v>
      </c>
      <c r="G3" s="7" t="s">
        <v>28</v>
      </c>
      <c r="H3" s="20">
        <v>1</v>
      </c>
      <c r="I3" s="8" t="str">
        <f t="shared" ref="I3" si="0">"0x" &amp; DEC2HEX(H3,2)</f>
        <v>0x01</v>
      </c>
      <c r="J3" s="156" t="s">
        <v>24</v>
      </c>
      <c r="K3" s="156"/>
      <c r="L3" s="156"/>
      <c r="M3" s="156"/>
      <c r="N3" s="156"/>
      <c r="O3" s="156"/>
      <c r="P3" s="156"/>
      <c r="Q3" s="156"/>
      <c r="R3" s="9"/>
      <c r="S3" s="156" t="s">
        <v>27</v>
      </c>
      <c r="T3" s="156"/>
      <c r="U3" s="156"/>
      <c r="V3" s="156"/>
      <c r="W3" s="156"/>
      <c r="X3" s="156" t="s">
        <v>26</v>
      </c>
      <c r="Y3" s="156"/>
      <c r="Z3" s="156"/>
      <c r="AA3" s="156"/>
      <c r="AB3" s="156" t="s">
        <v>25</v>
      </c>
      <c r="AC3" s="156"/>
      <c r="AD3" s="156"/>
      <c r="AE3" s="156"/>
      <c r="AF3" s="156"/>
      <c r="AG3" s="156"/>
    </row>
    <row r="4" spans="5:33" ht="15">
      <c r="E4" s="3"/>
    </row>
  </sheetData>
  <mergeCells count="5">
    <mergeCell ref="J2:AG2"/>
    <mergeCell ref="J3:Q3"/>
    <mergeCell ref="S3:W3"/>
    <mergeCell ref="X3:AA3"/>
    <mergeCell ref="AB3:AG3"/>
  </mergeCells>
  <phoneticPr fontId="14" type="noConversion"/>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6F38E-CA6D-4AAB-93B1-08A3409BF7D5}">
  <dimension ref="E1:AM10"/>
  <sheetViews>
    <sheetView topLeftCell="N1" zoomScale="70" zoomScaleNormal="70" workbookViewId="0">
      <selection activeCell="AK8" sqref="AK8:AK9"/>
    </sheetView>
  </sheetViews>
  <sheetFormatPr defaultRowHeight="14.25"/>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5" max="35" width="6.75" customWidth="1"/>
    <col min="36" max="36" width="18.375" style="2" customWidth="1"/>
    <col min="37" max="37" width="18.75" customWidth="1"/>
    <col min="38" max="38" width="10.125" customWidth="1"/>
    <col min="39" max="39" width="104.875" customWidth="1"/>
    <col min="40" max="40" width="22.25" customWidth="1"/>
  </cols>
  <sheetData>
    <row r="1" spans="5:39">
      <c r="F1" s="12"/>
      <c r="G1" s="13">
        <v>31</v>
      </c>
      <c r="H1" s="17" t="s">
        <v>41</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9">
      <c r="F2" s="4" t="s">
        <v>39</v>
      </c>
      <c r="G2" s="5" t="s">
        <v>9</v>
      </c>
      <c r="H2" s="18"/>
      <c r="I2" s="4" t="s">
        <v>6</v>
      </c>
      <c r="J2" s="152" t="s">
        <v>7</v>
      </c>
      <c r="K2" s="152"/>
      <c r="L2" s="152"/>
      <c r="M2" s="152"/>
      <c r="N2" s="152"/>
      <c r="O2" s="152"/>
      <c r="P2" s="152"/>
      <c r="Q2" s="152"/>
      <c r="R2" s="152"/>
      <c r="S2" s="152"/>
      <c r="T2" s="152"/>
      <c r="U2" s="152"/>
      <c r="V2" s="152"/>
      <c r="W2" s="152"/>
      <c r="X2" s="152"/>
      <c r="Y2" s="152"/>
      <c r="Z2" s="152"/>
      <c r="AA2" s="152"/>
      <c r="AB2" s="152"/>
      <c r="AC2" s="152"/>
      <c r="AD2" s="152"/>
      <c r="AE2" s="152"/>
      <c r="AF2" s="152"/>
      <c r="AG2" s="152"/>
    </row>
    <row r="3" spans="5:39" ht="15">
      <c r="E3" s="3"/>
      <c r="F3" s="6" t="s">
        <v>22</v>
      </c>
      <c r="G3" s="7" t="s">
        <v>9</v>
      </c>
      <c r="H3" s="20">
        <v>6</v>
      </c>
      <c r="I3" s="8" t="str">
        <f t="shared" ref="I3" si="0">"0x" &amp; DEC2HEX(H3,2)</f>
        <v>0x06</v>
      </c>
      <c r="J3" s="9">
        <v>0</v>
      </c>
      <c r="K3" s="9">
        <v>0</v>
      </c>
      <c r="L3" s="9">
        <v>0</v>
      </c>
      <c r="M3" s="9">
        <v>0</v>
      </c>
      <c r="N3" s="185" t="s">
        <v>146</v>
      </c>
      <c r="O3" s="186"/>
      <c r="P3" s="186"/>
      <c r="Q3" s="186"/>
      <c r="R3" s="186"/>
      <c r="S3" s="186"/>
      <c r="T3" s="186"/>
      <c r="U3" s="186"/>
      <c r="V3" s="186"/>
      <c r="W3" s="186"/>
      <c r="X3" s="186"/>
      <c r="Y3" s="187"/>
      <c r="Z3" s="185" t="s">
        <v>145</v>
      </c>
      <c r="AA3" s="186"/>
      <c r="AB3" s="186"/>
      <c r="AC3" s="186"/>
      <c r="AD3" s="186"/>
      <c r="AE3" s="187"/>
      <c r="AF3" s="107" t="s">
        <v>5</v>
      </c>
      <c r="AG3" s="109"/>
    </row>
    <row r="4" spans="5:39" ht="15">
      <c r="E4" s="3"/>
      <c r="AJ4" s="16"/>
      <c r="AK4" s="16" t="s">
        <v>70</v>
      </c>
      <c r="AL4" s="16" t="s">
        <v>76</v>
      </c>
      <c r="AM4" s="16"/>
    </row>
    <row r="5" spans="5:39" ht="30" customHeight="1">
      <c r="AJ5" s="211"/>
      <c r="AK5" s="211" t="s">
        <v>5</v>
      </c>
      <c r="AL5" s="211" t="s">
        <v>83</v>
      </c>
      <c r="AM5" s="209" t="s">
        <v>147</v>
      </c>
    </row>
    <row r="6" spans="5:39" ht="27" customHeight="1">
      <c r="AJ6" s="212"/>
      <c r="AK6" s="212"/>
      <c r="AL6" s="212"/>
      <c r="AM6" s="210"/>
    </row>
    <row r="7" spans="5:39" ht="32.25" customHeight="1">
      <c r="AJ7" s="212"/>
      <c r="AK7" s="212"/>
      <c r="AL7" s="212"/>
      <c r="AM7" s="210"/>
    </row>
    <row r="8" spans="5:39">
      <c r="AJ8" s="212"/>
      <c r="AK8" s="41" t="s">
        <v>145</v>
      </c>
      <c r="AL8" s="41" t="s">
        <v>149</v>
      </c>
      <c r="AM8" s="41" t="s">
        <v>148</v>
      </c>
    </row>
    <row r="9" spans="5:39">
      <c r="AJ9" s="212"/>
      <c r="AK9" s="41" t="s">
        <v>146</v>
      </c>
      <c r="AL9" s="41" t="s">
        <v>150</v>
      </c>
      <c r="AM9" s="41" t="s">
        <v>189</v>
      </c>
    </row>
    <row r="10" spans="5:39">
      <c r="AJ10" s="213"/>
      <c r="AK10" s="49" t="s">
        <v>82</v>
      </c>
      <c r="AL10" s="49" t="s">
        <v>93</v>
      </c>
      <c r="AM10" s="49"/>
    </row>
  </sheetData>
  <mergeCells count="8">
    <mergeCell ref="AM5:AM7"/>
    <mergeCell ref="J2:AG2"/>
    <mergeCell ref="N3:Y3"/>
    <mergeCell ref="Z3:AE3"/>
    <mergeCell ref="AF3:AG3"/>
    <mergeCell ref="AJ5:AJ10"/>
    <mergeCell ref="AK5:AK7"/>
    <mergeCell ref="AL5:AL7"/>
  </mergeCells>
  <phoneticPr fontId="14"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154F-0EAC-4A93-8347-B64B97F58F49}">
  <dimension ref="E1:AR15"/>
  <sheetViews>
    <sheetView topLeftCell="P1" zoomScale="70" zoomScaleNormal="70" workbookViewId="0">
      <selection activeCell="AR18" sqref="AR18"/>
    </sheetView>
  </sheetViews>
  <sheetFormatPr defaultRowHeight="14.25"/>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7" max="37" width="6.75" customWidth="1"/>
    <col min="38" max="38" width="18.375" style="2" customWidth="1"/>
    <col min="39" max="39" width="18.75" customWidth="1"/>
    <col min="40" max="40" width="6.75" customWidth="1"/>
    <col min="41" max="41" width="65.625" customWidth="1"/>
    <col min="43" max="43" width="45.625" customWidth="1"/>
    <col min="44" max="44" width="25.125" customWidth="1"/>
  </cols>
  <sheetData>
    <row r="1" spans="5:44">
      <c r="F1" s="12"/>
      <c r="G1" s="13">
        <v>31</v>
      </c>
      <c r="H1" s="17" t="s">
        <v>41</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44">
      <c r="F2" s="4" t="s">
        <v>39</v>
      </c>
      <c r="G2" s="5" t="s">
        <v>9</v>
      </c>
      <c r="H2" s="18"/>
      <c r="I2" s="4" t="s">
        <v>6</v>
      </c>
      <c r="J2" s="152" t="s">
        <v>7</v>
      </c>
      <c r="K2" s="152"/>
      <c r="L2" s="152"/>
      <c r="M2" s="152"/>
      <c r="N2" s="152"/>
      <c r="O2" s="152"/>
      <c r="P2" s="152"/>
      <c r="Q2" s="152"/>
      <c r="R2" s="152"/>
      <c r="S2" s="152"/>
      <c r="T2" s="152"/>
      <c r="U2" s="152"/>
      <c r="V2" s="152"/>
      <c r="W2" s="152"/>
      <c r="X2" s="152"/>
      <c r="Y2" s="152"/>
      <c r="Z2" s="152"/>
      <c r="AA2" s="152"/>
      <c r="AB2" s="152"/>
      <c r="AC2" s="152"/>
      <c r="AD2" s="152"/>
      <c r="AE2" s="152"/>
      <c r="AF2" s="152"/>
      <c r="AG2" s="152"/>
    </row>
    <row r="3" spans="5:44" ht="58.5" customHeight="1">
      <c r="E3" s="3"/>
      <c r="F3" s="6" t="s">
        <v>21</v>
      </c>
      <c r="G3" s="7" t="s">
        <v>9</v>
      </c>
      <c r="H3" s="20">
        <v>7</v>
      </c>
      <c r="I3" s="8" t="str">
        <f t="shared" ref="I3" si="0">"0x" &amp; DEC2HEX(H3,2)</f>
        <v>0x07</v>
      </c>
      <c r="J3" s="15" t="s">
        <v>140</v>
      </c>
      <c r="K3" s="15" t="s">
        <v>133</v>
      </c>
      <c r="L3" s="107" t="s">
        <v>191</v>
      </c>
      <c r="M3" s="173"/>
      <c r="N3" s="173"/>
      <c r="O3" s="173"/>
      <c r="P3" s="173"/>
      <c r="Q3" s="174"/>
      <c r="R3" s="85"/>
      <c r="S3" s="217" t="s">
        <v>190</v>
      </c>
      <c r="T3" s="173"/>
      <c r="U3" s="173"/>
      <c r="V3" s="173"/>
      <c r="W3" s="173"/>
      <c r="X3" s="173"/>
      <c r="Y3" s="173"/>
      <c r="Z3" s="173"/>
      <c r="AA3" s="173"/>
      <c r="AB3" s="173"/>
      <c r="AC3" s="173"/>
      <c r="AD3" s="173"/>
      <c r="AE3" s="173"/>
      <c r="AF3" s="173"/>
      <c r="AG3" s="174"/>
    </row>
    <row r="4" spans="5:44" ht="15">
      <c r="E4" s="3"/>
      <c r="AL4" s="16"/>
      <c r="AM4" s="16" t="s">
        <v>70</v>
      </c>
      <c r="AN4" s="16" t="s">
        <v>76</v>
      </c>
      <c r="AO4" s="16" t="s">
        <v>71</v>
      </c>
      <c r="AP4" s="217" t="s">
        <v>161</v>
      </c>
      <c r="AQ4" s="174"/>
      <c r="AR4" s="96" t="s">
        <v>306</v>
      </c>
    </row>
    <row r="5" spans="5:44">
      <c r="AL5" s="216" t="s">
        <v>21</v>
      </c>
      <c r="AM5" s="216" t="s">
        <v>409</v>
      </c>
      <c r="AN5" s="216" t="s">
        <v>313</v>
      </c>
      <c r="AO5" s="214" t="s">
        <v>410</v>
      </c>
      <c r="AP5" s="218" t="s">
        <v>404</v>
      </c>
      <c r="AQ5" s="219"/>
      <c r="AR5" s="96"/>
    </row>
    <row r="6" spans="5:44" ht="88.5" customHeight="1">
      <c r="AL6" s="216"/>
      <c r="AM6" s="216"/>
      <c r="AN6" s="216"/>
      <c r="AO6" s="215"/>
      <c r="AP6" s="220"/>
      <c r="AQ6" s="221"/>
      <c r="AR6" s="236" t="s">
        <v>411</v>
      </c>
    </row>
    <row r="7" spans="5:44">
      <c r="AL7" s="216"/>
      <c r="AM7" s="84" t="s">
        <v>82</v>
      </c>
      <c r="AN7" s="84" t="s">
        <v>316</v>
      </c>
      <c r="AO7" s="83" t="s">
        <v>82</v>
      </c>
      <c r="AP7" s="225" t="s">
        <v>82</v>
      </c>
      <c r="AQ7" s="226"/>
      <c r="AR7" s="96"/>
    </row>
    <row r="8" spans="5:44">
      <c r="AL8" s="215"/>
      <c r="AM8" s="215" t="s">
        <v>191</v>
      </c>
      <c r="AN8" s="215" t="s">
        <v>138</v>
      </c>
      <c r="AO8" s="214" t="s">
        <v>163</v>
      </c>
      <c r="AP8" s="222" t="s">
        <v>162</v>
      </c>
      <c r="AQ8" s="219"/>
      <c r="AR8" s="96"/>
    </row>
    <row r="9" spans="5:44">
      <c r="AL9" s="215"/>
      <c r="AM9" s="215"/>
      <c r="AN9" s="215"/>
      <c r="AO9" s="215"/>
      <c r="AP9" s="223"/>
      <c r="AQ9" s="224"/>
      <c r="AR9" s="96"/>
    </row>
    <row r="10" spans="5:44">
      <c r="AL10" s="215"/>
      <c r="AM10" s="215"/>
      <c r="AN10" s="215"/>
      <c r="AO10" s="215"/>
      <c r="AP10" s="223"/>
      <c r="AQ10" s="224"/>
      <c r="AR10" s="96"/>
    </row>
    <row r="11" spans="5:44">
      <c r="AL11" s="215"/>
      <c r="AM11" s="215"/>
      <c r="AN11" s="215"/>
      <c r="AO11" s="215"/>
      <c r="AP11" s="220"/>
      <c r="AQ11" s="221"/>
      <c r="AR11" s="96"/>
    </row>
    <row r="12" spans="5:44">
      <c r="AL12" s="215"/>
      <c r="AM12" s="216" t="s">
        <v>133</v>
      </c>
      <c r="AN12" s="216" t="s">
        <v>315</v>
      </c>
      <c r="AO12" s="214" t="s">
        <v>144</v>
      </c>
      <c r="AP12" s="43">
        <v>0</v>
      </c>
      <c r="AQ12" s="41" t="s">
        <v>139</v>
      </c>
      <c r="AR12" s="96"/>
    </row>
    <row r="13" spans="5:44">
      <c r="AL13" s="215"/>
      <c r="AM13" s="216"/>
      <c r="AN13" s="215"/>
      <c r="AO13" s="215"/>
      <c r="AP13" s="43">
        <v>1</v>
      </c>
      <c r="AQ13" s="41" t="s">
        <v>141</v>
      </c>
      <c r="AR13" s="96"/>
    </row>
    <row r="14" spans="5:44">
      <c r="AL14" s="215"/>
      <c r="AM14" s="216" t="s">
        <v>140</v>
      </c>
      <c r="AN14" s="216" t="s">
        <v>314</v>
      </c>
      <c r="AO14" s="214" t="s">
        <v>164</v>
      </c>
      <c r="AP14" s="43">
        <v>0</v>
      </c>
      <c r="AQ14" s="41" t="s">
        <v>142</v>
      </c>
      <c r="AR14" s="96"/>
    </row>
    <row r="15" spans="5:44">
      <c r="AL15" s="215"/>
      <c r="AM15" s="216"/>
      <c r="AN15" s="215"/>
      <c r="AO15" s="215"/>
      <c r="AP15" s="43">
        <v>1</v>
      </c>
      <c r="AQ15" s="41" t="s">
        <v>143</v>
      </c>
      <c r="AR15" s="96"/>
    </row>
  </sheetData>
  <mergeCells count="20">
    <mergeCell ref="AP5:AQ6"/>
    <mergeCell ref="AP8:AQ11"/>
    <mergeCell ref="AP4:AQ4"/>
    <mergeCell ref="AM5:AM6"/>
    <mergeCell ref="AN5:AN6"/>
    <mergeCell ref="AO5:AO6"/>
    <mergeCell ref="AM8:AM11"/>
    <mergeCell ref="AN8:AN11"/>
    <mergeCell ref="AO8:AO11"/>
    <mergeCell ref="AP7:AQ7"/>
    <mergeCell ref="AO14:AO15"/>
    <mergeCell ref="AM12:AM13"/>
    <mergeCell ref="AN12:AN13"/>
    <mergeCell ref="AO12:AO13"/>
    <mergeCell ref="J2:AG2"/>
    <mergeCell ref="AL5:AL15"/>
    <mergeCell ref="L3:Q3"/>
    <mergeCell ref="S3:AG3"/>
    <mergeCell ref="AM14:AM15"/>
    <mergeCell ref="AN14:AN15"/>
  </mergeCells>
  <phoneticPr fontId="14" type="noConversion"/>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F058B-94D5-42CE-B0CC-C2BADA28807E}">
  <dimension ref="E1:AR43"/>
  <sheetViews>
    <sheetView topLeftCell="R5" zoomScale="70" zoomScaleNormal="70" workbookViewId="0">
      <selection activeCell="AR8" sqref="AR8:AR15"/>
    </sheetView>
  </sheetViews>
  <sheetFormatPr defaultRowHeight="14.25"/>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7" max="37" width="6.75" customWidth="1"/>
    <col min="38" max="38" width="18.375" style="2" customWidth="1"/>
    <col min="39" max="39" width="18.75" customWidth="1"/>
    <col min="40" max="40" width="6.75" customWidth="1"/>
    <col min="41" max="41" width="62.875" customWidth="1"/>
    <col min="43" max="43" width="56.75" customWidth="1"/>
    <col min="44" max="44" width="25.25" style="2" customWidth="1"/>
  </cols>
  <sheetData>
    <row r="1" spans="5:44">
      <c r="F1" s="12"/>
      <c r="G1" s="13">
        <v>31</v>
      </c>
      <c r="H1" s="17" t="s">
        <v>41</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44">
      <c r="F2" s="4" t="s">
        <v>39</v>
      </c>
      <c r="G2" s="5" t="s">
        <v>9</v>
      </c>
      <c r="H2" s="18"/>
      <c r="I2" s="4" t="s">
        <v>6</v>
      </c>
      <c r="J2" s="152" t="s">
        <v>7</v>
      </c>
      <c r="K2" s="152"/>
      <c r="L2" s="152"/>
      <c r="M2" s="152"/>
      <c r="N2" s="152"/>
      <c r="O2" s="152"/>
      <c r="P2" s="152"/>
      <c r="Q2" s="152"/>
      <c r="R2" s="152"/>
      <c r="S2" s="152"/>
      <c r="T2" s="152"/>
      <c r="U2" s="152"/>
      <c r="V2" s="152"/>
      <c r="W2" s="152"/>
      <c r="X2" s="152"/>
      <c r="Y2" s="152"/>
      <c r="Z2" s="152"/>
      <c r="AA2" s="152"/>
      <c r="AB2" s="152"/>
      <c r="AC2" s="152"/>
      <c r="AD2" s="152"/>
      <c r="AE2" s="152"/>
      <c r="AF2" s="152"/>
      <c r="AG2" s="152"/>
    </row>
    <row r="3" spans="5:44" ht="44.25" customHeight="1">
      <c r="F3" s="6" t="s">
        <v>134</v>
      </c>
      <c r="G3" s="7" t="s">
        <v>9</v>
      </c>
      <c r="H3" s="20">
        <v>0</v>
      </c>
      <c r="I3" s="8" t="str">
        <f t="shared" ref="I3:I6" si="0">"0x" &amp; DEC2HEX(H3,2)</f>
        <v>0x00</v>
      </c>
      <c r="J3" s="11">
        <v>0</v>
      </c>
      <c r="K3" s="11">
        <v>0</v>
      </c>
      <c r="L3" s="156" t="s">
        <v>158</v>
      </c>
      <c r="M3" s="123"/>
      <c r="N3" s="123"/>
      <c r="O3" s="123"/>
      <c r="P3" s="123"/>
      <c r="Q3" s="123"/>
      <c r="R3" s="156" t="s">
        <v>1</v>
      </c>
      <c r="S3" s="123"/>
      <c r="T3" s="123"/>
      <c r="U3" s="123"/>
      <c r="V3" s="123"/>
      <c r="W3" s="123"/>
      <c r="X3" s="156" t="s">
        <v>0</v>
      </c>
      <c r="Y3" s="123"/>
      <c r="Z3" s="123"/>
      <c r="AA3" s="123"/>
      <c r="AB3" s="123"/>
      <c r="AC3" s="123"/>
      <c r="AD3" s="15" t="s">
        <v>61</v>
      </c>
      <c r="AE3" s="156" t="s">
        <v>60</v>
      </c>
      <c r="AF3" s="156"/>
      <c r="AG3" s="15" t="s">
        <v>73</v>
      </c>
    </row>
    <row r="4" spans="5:44" ht="48.75" customHeight="1">
      <c r="F4" s="6" t="s">
        <v>135</v>
      </c>
      <c r="G4" s="7" t="s">
        <v>9</v>
      </c>
      <c r="H4" s="20">
        <v>1</v>
      </c>
      <c r="I4" s="8" t="str">
        <f t="shared" si="0"/>
        <v>0x01</v>
      </c>
      <c r="J4" s="11">
        <v>0</v>
      </c>
      <c r="K4" s="11">
        <v>0</v>
      </c>
      <c r="L4" s="11">
        <v>0</v>
      </c>
      <c r="M4" s="11">
        <v>0</v>
      </c>
      <c r="N4" s="156" t="s">
        <v>66</v>
      </c>
      <c r="O4" s="123"/>
      <c r="P4" s="123"/>
      <c r="Q4" s="123"/>
      <c r="R4" s="156" t="s">
        <v>65</v>
      </c>
      <c r="S4" s="123"/>
      <c r="T4" s="123"/>
      <c r="U4" s="123"/>
      <c r="V4" s="156" t="s">
        <v>67</v>
      </c>
      <c r="W4" s="123"/>
      <c r="X4" s="156" t="s">
        <v>63</v>
      </c>
      <c r="Y4" s="123"/>
      <c r="Z4" s="123"/>
      <c r="AA4" s="123"/>
      <c r="AB4" s="156" t="s">
        <v>64</v>
      </c>
      <c r="AC4" s="123"/>
      <c r="AD4" s="123"/>
      <c r="AE4" s="123"/>
      <c r="AF4" s="156" t="s">
        <v>62</v>
      </c>
      <c r="AG4" s="123"/>
    </row>
    <row r="5" spans="5:44" ht="58.5" customHeight="1">
      <c r="F5" s="6" t="s">
        <v>136</v>
      </c>
      <c r="G5" s="7" t="s">
        <v>9</v>
      </c>
      <c r="H5" s="20">
        <v>2</v>
      </c>
      <c r="I5" s="8" t="str">
        <f t="shared" si="0"/>
        <v>0x02</v>
      </c>
      <c r="J5" s="11">
        <v>0</v>
      </c>
      <c r="K5" s="11">
        <v>0</v>
      </c>
      <c r="L5" s="11">
        <v>0</v>
      </c>
      <c r="M5" s="11">
        <v>0</v>
      </c>
      <c r="N5" s="11">
        <v>0</v>
      </c>
      <c r="O5" s="11">
        <v>0</v>
      </c>
      <c r="P5" s="11">
        <v>0</v>
      </c>
      <c r="Q5" s="11">
        <v>0</v>
      </c>
      <c r="R5" s="11">
        <v>0</v>
      </c>
      <c r="S5" s="11">
        <v>0</v>
      </c>
      <c r="T5" s="156" t="s">
        <v>68</v>
      </c>
      <c r="U5" s="156"/>
      <c r="V5" s="156"/>
      <c r="W5" s="156"/>
      <c r="X5" s="107" t="s">
        <v>113</v>
      </c>
      <c r="Y5" s="173"/>
      <c r="Z5" s="174"/>
      <c r="AA5" s="156" t="s">
        <v>68</v>
      </c>
      <c r="AB5" s="156"/>
      <c r="AC5" s="156"/>
      <c r="AD5" s="156"/>
      <c r="AE5" s="107" t="s">
        <v>114</v>
      </c>
      <c r="AF5" s="173"/>
      <c r="AG5" s="174"/>
    </row>
    <row r="6" spans="5:44" ht="57" customHeight="1">
      <c r="F6" s="6" t="s">
        <v>137</v>
      </c>
      <c r="G6" s="7" t="s">
        <v>9</v>
      </c>
      <c r="H6" s="20">
        <v>3</v>
      </c>
      <c r="I6" s="8" t="str">
        <f t="shared" si="0"/>
        <v>0x03</v>
      </c>
      <c r="J6" s="11">
        <v>0</v>
      </c>
      <c r="K6" s="11">
        <v>0</v>
      </c>
      <c r="L6" s="11">
        <v>0</v>
      </c>
      <c r="M6" s="11">
        <v>0</v>
      </c>
      <c r="N6" s="11">
        <v>0</v>
      </c>
      <c r="O6" s="11">
        <v>0</v>
      </c>
      <c r="P6" s="11">
        <v>0</v>
      </c>
      <c r="Q6" s="11">
        <v>0</v>
      </c>
      <c r="R6" s="11">
        <v>0</v>
      </c>
      <c r="S6" s="11">
        <v>0</v>
      </c>
      <c r="T6" s="11">
        <v>0</v>
      </c>
      <c r="U6" s="11">
        <v>0</v>
      </c>
      <c r="V6" s="11">
        <v>0</v>
      </c>
      <c r="W6" s="11">
        <v>0</v>
      </c>
      <c r="X6" s="11">
        <v>0</v>
      </c>
      <c r="Y6" s="15" t="s">
        <v>99</v>
      </c>
      <c r="Z6" s="217" t="s">
        <v>100</v>
      </c>
      <c r="AA6" s="173"/>
      <c r="AB6" s="173"/>
      <c r="AC6" s="173"/>
      <c r="AD6" s="173"/>
      <c r="AE6" s="173"/>
      <c r="AF6" s="173"/>
      <c r="AG6" s="174"/>
    </row>
    <row r="7" spans="5:44" ht="15">
      <c r="E7" s="3"/>
    </row>
    <row r="8" spans="5:44" ht="15">
      <c r="E8" s="3"/>
      <c r="AL8" s="16"/>
      <c r="AM8" s="16" t="s">
        <v>70</v>
      </c>
      <c r="AN8" s="16" t="s">
        <v>76</v>
      </c>
      <c r="AO8" s="16" t="s">
        <v>71</v>
      </c>
      <c r="AP8" s="16"/>
      <c r="AQ8" s="16"/>
      <c r="AR8" s="96" t="s">
        <v>306</v>
      </c>
    </row>
    <row r="9" spans="5:44">
      <c r="AL9" s="216" t="s">
        <v>134</v>
      </c>
      <c r="AM9" s="216" t="s">
        <v>73</v>
      </c>
      <c r="AN9" s="216" t="s">
        <v>77</v>
      </c>
      <c r="AO9" s="214" t="s">
        <v>72</v>
      </c>
      <c r="AP9" s="43">
        <v>0</v>
      </c>
      <c r="AQ9" s="44" t="s">
        <v>58</v>
      </c>
      <c r="AR9" s="96"/>
    </row>
    <row r="10" spans="5:44">
      <c r="AL10" s="216"/>
      <c r="AM10" s="216"/>
      <c r="AN10" s="216"/>
      <c r="AO10" s="215"/>
      <c r="AP10" s="43">
        <v>1</v>
      </c>
      <c r="AQ10" s="44" t="s">
        <v>59</v>
      </c>
      <c r="AR10" s="96"/>
    </row>
    <row r="11" spans="5:44">
      <c r="AL11" s="215"/>
      <c r="AM11" s="215" t="s">
        <v>60</v>
      </c>
      <c r="AN11" s="215" t="s">
        <v>78</v>
      </c>
      <c r="AO11" s="214" t="s">
        <v>74</v>
      </c>
      <c r="AP11" s="41" t="s">
        <v>54</v>
      </c>
      <c r="AQ11" s="41" t="s">
        <v>53</v>
      </c>
      <c r="AR11" s="96"/>
    </row>
    <row r="12" spans="5:44">
      <c r="AL12" s="215"/>
      <c r="AM12" s="215"/>
      <c r="AN12" s="215"/>
      <c r="AO12" s="215"/>
      <c r="AP12" s="44" t="s">
        <v>55</v>
      </c>
      <c r="AQ12" s="41" t="s">
        <v>3</v>
      </c>
      <c r="AR12" s="96"/>
    </row>
    <row r="13" spans="5:44">
      <c r="AL13" s="215"/>
      <c r="AM13" s="215"/>
      <c r="AN13" s="215"/>
      <c r="AO13" s="215"/>
      <c r="AP13" s="44" t="s">
        <v>56</v>
      </c>
      <c r="AQ13" s="41" t="s">
        <v>4</v>
      </c>
      <c r="AR13" s="96"/>
    </row>
    <row r="14" spans="5:44">
      <c r="AL14" s="215"/>
      <c r="AM14" s="215"/>
      <c r="AN14" s="215"/>
      <c r="AO14" s="215"/>
      <c r="AP14" s="44" t="s">
        <v>57</v>
      </c>
      <c r="AQ14" s="41" t="s">
        <v>116</v>
      </c>
      <c r="AR14" s="96"/>
    </row>
    <row r="15" spans="5:44">
      <c r="AL15" s="215"/>
      <c r="AM15" s="216" t="s">
        <v>61</v>
      </c>
      <c r="AN15" s="216" t="s">
        <v>79</v>
      </c>
      <c r="AO15" s="214" t="s">
        <v>75</v>
      </c>
      <c r="AP15" s="43">
        <v>0</v>
      </c>
      <c r="AQ15" s="41" t="s">
        <v>407</v>
      </c>
      <c r="AR15" s="233" t="s">
        <v>408</v>
      </c>
    </row>
    <row r="16" spans="5:44">
      <c r="AL16" s="215"/>
      <c r="AM16" s="216"/>
      <c r="AN16" s="215"/>
      <c r="AO16" s="215"/>
      <c r="AP16" s="43">
        <v>1</v>
      </c>
      <c r="AQ16" s="41" t="s">
        <v>2</v>
      </c>
      <c r="AR16" s="96"/>
    </row>
    <row r="17" spans="38:44" ht="28.5">
      <c r="AL17" s="215"/>
      <c r="AM17" s="44" t="s">
        <v>0</v>
      </c>
      <c r="AN17" s="44" t="s">
        <v>80</v>
      </c>
      <c r="AO17" s="42" t="s">
        <v>115</v>
      </c>
      <c r="AP17" s="44"/>
      <c r="AQ17" s="44"/>
      <c r="AR17" s="96"/>
    </row>
    <row r="18" spans="38:44" ht="28.5">
      <c r="AL18" s="215"/>
      <c r="AM18" s="44" t="s">
        <v>1</v>
      </c>
      <c r="AN18" s="44" t="s">
        <v>81</v>
      </c>
      <c r="AO18" s="42" t="s">
        <v>159</v>
      </c>
      <c r="AP18" s="44"/>
      <c r="AQ18" s="44"/>
      <c r="AR18" s="96"/>
    </row>
    <row r="19" spans="38:44" ht="28.5">
      <c r="AL19" s="215"/>
      <c r="AM19" s="44" t="s">
        <v>158</v>
      </c>
      <c r="AN19" s="44" t="s">
        <v>138</v>
      </c>
      <c r="AO19" s="42" t="s">
        <v>160</v>
      </c>
      <c r="AP19" s="44"/>
      <c r="AQ19" s="44"/>
      <c r="AR19" s="96"/>
    </row>
    <row r="20" spans="38:44">
      <c r="AL20" s="215"/>
      <c r="AM20" s="49" t="s">
        <v>82</v>
      </c>
      <c r="AN20" s="49" t="s">
        <v>283</v>
      </c>
      <c r="AO20" s="50" t="s">
        <v>98</v>
      </c>
      <c r="AP20" s="49"/>
      <c r="AQ20" s="49"/>
      <c r="AR20" s="234" t="s">
        <v>296</v>
      </c>
    </row>
    <row r="21" spans="38:44" ht="30" customHeight="1">
      <c r="AL21" s="228" t="s">
        <v>135</v>
      </c>
      <c r="AM21" s="45" t="s">
        <v>62</v>
      </c>
      <c r="AN21" s="45" t="s">
        <v>83</v>
      </c>
      <c r="AO21" s="46" t="s">
        <v>84</v>
      </c>
      <c r="AP21" s="47"/>
      <c r="AQ21" s="47"/>
      <c r="AR21" s="96"/>
    </row>
    <row r="22" spans="38:44" ht="28.5">
      <c r="AL22" s="228"/>
      <c r="AM22" s="45" t="s">
        <v>64</v>
      </c>
      <c r="AN22" s="45" t="s">
        <v>90</v>
      </c>
      <c r="AO22" s="46" t="s">
        <v>86</v>
      </c>
      <c r="AP22" s="47"/>
      <c r="AQ22" s="47"/>
      <c r="AR22" s="96"/>
    </row>
    <row r="23" spans="38:44" ht="28.5">
      <c r="AL23" s="229"/>
      <c r="AM23" s="45" t="s">
        <v>63</v>
      </c>
      <c r="AN23" s="45" t="s">
        <v>91</v>
      </c>
      <c r="AO23" s="46" t="s">
        <v>85</v>
      </c>
      <c r="AP23" s="47"/>
      <c r="AQ23" s="47"/>
      <c r="AR23" s="96"/>
    </row>
    <row r="24" spans="38:44" ht="28.5">
      <c r="AL24" s="229"/>
      <c r="AM24" s="45" t="s">
        <v>67</v>
      </c>
      <c r="AN24" s="45" t="s">
        <v>92</v>
      </c>
      <c r="AO24" s="46" t="s">
        <v>87</v>
      </c>
      <c r="AP24" s="47"/>
      <c r="AQ24" s="47"/>
      <c r="AR24" s="96"/>
    </row>
    <row r="25" spans="38:44" ht="28.5">
      <c r="AL25" s="229"/>
      <c r="AM25" s="45" t="s">
        <v>65</v>
      </c>
      <c r="AN25" s="45" t="s">
        <v>228</v>
      </c>
      <c r="AO25" s="46" t="s">
        <v>89</v>
      </c>
      <c r="AP25" s="47"/>
      <c r="AQ25" s="47"/>
      <c r="AR25" s="234" t="s">
        <v>295</v>
      </c>
    </row>
    <row r="26" spans="38:44" ht="28.5">
      <c r="AL26" s="229"/>
      <c r="AM26" s="45" t="s">
        <v>66</v>
      </c>
      <c r="AN26" s="45" t="s">
        <v>229</v>
      </c>
      <c r="AO26" s="46" t="s">
        <v>88</v>
      </c>
      <c r="AP26" s="47"/>
      <c r="AQ26" s="47"/>
      <c r="AR26" s="234" t="s">
        <v>297</v>
      </c>
    </row>
    <row r="27" spans="38:44">
      <c r="AL27" s="229"/>
      <c r="AM27" s="49" t="s">
        <v>82</v>
      </c>
      <c r="AN27" s="49" t="s">
        <v>93</v>
      </c>
      <c r="AO27" s="50" t="s">
        <v>98</v>
      </c>
      <c r="AP27" s="51"/>
      <c r="AQ27" s="51"/>
      <c r="AR27" s="96"/>
    </row>
    <row r="28" spans="38:44" ht="15" customHeight="1">
      <c r="AL28" s="215" t="s">
        <v>136</v>
      </c>
      <c r="AM28" s="215" t="s">
        <v>114</v>
      </c>
      <c r="AN28" s="215" t="s">
        <v>101</v>
      </c>
      <c r="AO28" s="214" t="s">
        <v>97</v>
      </c>
      <c r="AP28" s="48" t="s">
        <v>54</v>
      </c>
      <c r="AQ28" s="48" t="s">
        <v>108</v>
      </c>
      <c r="AR28" s="96"/>
    </row>
    <row r="29" spans="38:44">
      <c r="AL29" s="215"/>
      <c r="AM29" s="215"/>
      <c r="AN29" s="215"/>
      <c r="AO29" s="214"/>
      <c r="AP29" s="48" t="s">
        <v>55</v>
      </c>
      <c r="AQ29" s="48" t="s">
        <v>109</v>
      </c>
      <c r="AR29" s="96"/>
    </row>
    <row r="30" spans="38:44">
      <c r="AL30" s="215"/>
      <c r="AM30" s="227"/>
      <c r="AN30" s="227"/>
      <c r="AO30" s="227"/>
      <c r="AP30" s="48" t="s">
        <v>56</v>
      </c>
      <c r="AQ30" s="48" t="s">
        <v>110</v>
      </c>
      <c r="AR30" s="96"/>
    </row>
    <row r="31" spans="38:44">
      <c r="AL31" s="215"/>
      <c r="AM31" s="227"/>
      <c r="AN31" s="227"/>
      <c r="AO31" s="227"/>
      <c r="AP31" s="48" t="s">
        <v>57</v>
      </c>
      <c r="AQ31" s="48" t="s">
        <v>111</v>
      </c>
      <c r="AR31" s="96"/>
    </row>
    <row r="32" spans="38:44">
      <c r="AL32" s="215"/>
      <c r="AM32" s="227"/>
      <c r="AN32" s="227"/>
      <c r="AO32" s="227"/>
      <c r="AP32" s="48" t="s">
        <v>102</v>
      </c>
      <c r="AQ32" s="48" t="s">
        <v>112</v>
      </c>
      <c r="AR32" s="96"/>
    </row>
    <row r="33" spans="38:44" ht="42.75">
      <c r="AL33" s="215"/>
      <c r="AM33" s="44" t="s">
        <v>68</v>
      </c>
      <c r="AN33" s="44" t="s">
        <v>230</v>
      </c>
      <c r="AO33" s="42" t="s">
        <v>94</v>
      </c>
      <c r="AP33" s="48"/>
      <c r="AQ33" s="48"/>
      <c r="AR33" s="234" t="s">
        <v>295</v>
      </c>
    </row>
    <row r="34" spans="38:44" ht="15" customHeight="1">
      <c r="AL34" s="215"/>
      <c r="AM34" s="215" t="s">
        <v>113</v>
      </c>
      <c r="AN34" s="215" t="s">
        <v>231</v>
      </c>
      <c r="AO34" s="214" t="s">
        <v>95</v>
      </c>
      <c r="AP34" s="48" t="s">
        <v>54</v>
      </c>
      <c r="AQ34" s="48" t="s">
        <v>103</v>
      </c>
      <c r="AR34" s="235" t="s">
        <v>298</v>
      </c>
    </row>
    <row r="35" spans="38:44">
      <c r="AL35" s="215"/>
      <c r="AM35" s="215"/>
      <c r="AN35" s="215"/>
      <c r="AO35" s="214"/>
      <c r="AP35" s="48" t="s">
        <v>55</v>
      </c>
      <c r="AQ35" s="48" t="s">
        <v>104</v>
      </c>
      <c r="AR35" s="123"/>
    </row>
    <row r="36" spans="38:44">
      <c r="AL36" s="215"/>
      <c r="AM36" s="227"/>
      <c r="AN36" s="227"/>
      <c r="AO36" s="227"/>
      <c r="AP36" s="48" t="s">
        <v>56</v>
      </c>
      <c r="AQ36" s="48" t="s">
        <v>105</v>
      </c>
      <c r="AR36" s="123"/>
    </row>
    <row r="37" spans="38:44">
      <c r="AL37" s="215"/>
      <c r="AM37" s="227"/>
      <c r="AN37" s="227"/>
      <c r="AO37" s="227"/>
      <c r="AP37" s="48" t="s">
        <v>57</v>
      </c>
      <c r="AQ37" s="48" t="s">
        <v>106</v>
      </c>
      <c r="AR37" s="123"/>
    </row>
    <row r="38" spans="38:44">
      <c r="AL38" s="215"/>
      <c r="AM38" s="227"/>
      <c r="AN38" s="227"/>
      <c r="AO38" s="227"/>
      <c r="AP38" s="48" t="s">
        <v>102</v>
      </c>
      <c r="AQ38" s="48" t="s">
        <v>107</v>
      </c>
      <c r="AR38" s="123"/>
    </row>
    <row r="39" spans="38:44" ht="42.75">
      <c r="AL39" s="215"/>
      <c r="AM39" s="44" t="s">
        <v>69</v>
      </c>
      <c r="AN39" s="44" t="s">
        <v>232</v>
      </c>
      <c r="AO39" s="42" t="s">
        <v>96</v>
      </c>
      <c r="AP39" s="48"/>
      <c r="AQ39" s="48"/>
      <c r="AR39" s="234" t="s">
        <v>299</v>
      </c>
    </row>
    <row r="40" spans="38:44">
      <c r="AL40" s="123"/>
      <c r="AM40" s="49" t="s">
        <v>82</v>
      </c>
      <c r="AN40" s="49" t="s">
        <v>233</v>
      </c>
      <c r="AO40" s="50" t="s">
        <v>98</v>
      </c>
      <c r="AP40" s="51"/>
      <c r="AQ40" s="51"/>
      <c r="AR40" s="234" t="s">
        <v>300</v>
      </c>
    </row>
    <row r="41" spans="38:44" ht="68.25" customHeight="1">
      <c r="AL41" s="228" t="s">
        <v>137</v>
      </c>
      <c r="AM41" s="45" t="s">
        <v>100</v>
      </c>
      <c r="AN41" s="45" t="s">
        <v>166</v>
      </c>
      <c r="AO41" s="46" t="s">
        <v>405</v>
      </c>
      <c r="AP41" s="47"/>
      <c r="AQ41" s="232" t="s">
        <v>406</v>
      </c>
      <c r="AR41" s="233">
        <v>1.6</v>
      </c>
    </row>
    <row r="42" spans="38:44">
      <c r="AL42" s="228"/>
      <c r="AM42" s="45" t="s">
        <v>99</v>
      </c>
      <c r="AN42" s="45" t="s">
        <v>167</v>
      </c>
      <c r="AO42" s="45" t="s">
        <v>165</v>
      </c>
      <c r="AP42" s="47"/>
      <c r="AQ42" s="47"/>
      <c r="AR42" s="96"/>
    </row>
    <row r="43" spans="38:44">
      <c r="AL43" s="228"/>
      <c r="AM43" s="49" t="s">
        <v>82</v>
      </c>
      <c r="AN43" s="49" t="s">
        <v>168</v>
      </c>
      <c r="AO43" s="50" t="s">
        <v>98</v>
      </c>
      <c r="AP43" s="51"/>
      <c r="AQ43" s="51"/>
      <c r="AR43" s="96"/>
    </row>
  </sheetData>
  <mergeCells count="36">
    <mergeCell ref="N4:Q4"/>
    <mergeCell ref="AA5:AD5"/>
    <mergeCell ref="J2:AG2"/>
    <mergeCell ref="X4:AA4"/>
    <mergeCell ref="X3:AC3"/>
    <mergeCell ref="R3:W3"/>
    <mergeCell ref="AE5:AG5"/>
    <mergeCell ref="T5:W5"/>
    <mergeCell ref="V4:W4"/>
    <mergeCell ref="R4:U4"/>
    <mergeCell ref="AE3:AF3"/>
    <mergeCell ref="AF4:AG4"/>
    <mergeCell ref="AB4:AE4"/>
    <mergeCell ref="X5:Z5"/>
    <mergeCell ref="L3:Q3"/>
    <mergeCell ref="AL41:AL43"/>
    <mergeCell ref="AM28:AM32"/>
    <mergeCell ref="AM9:AM10"/>
    <mergeCell ref="AM11:AM14"/>
    <mergeCell ref="AM15:AM16"/>
    <mergeCell ref="AL9:AL20"/>
    <mergeCell ref="AL21:AL27"/>
    <mergeCell ref="AL28:AL40"/>
    <mergeCell ref="AR34:AR38"/>
    <mergeCell ref="Z6:AG6"/>
    <mergeCell ref="AO9:AO10"/>
    <mergeCell ref="AO11:AO14"/>
    <mergeCell ref="AO15:AO16"/>
    <mergeCell ref="AN9:AN10"/>
    <mergeCell ref="AN11:AN14"/>
    <mergeCell ref="AN15:AN16"/>
    <mergeCell ref="AO28:AO32"/>
    <mergeCell ref="AN28:AN32"/>
    <mergeCell ref="AM34:AM38"/>
    <mergeCell ref="AN34:AN38"/>
    <mergeCell ref="AO34:AO38"/>
  </mergeCells>
  <phoneticPr fontId="14" type="noConversion"/>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06DA9-8E53-4856-BF0F-E578B63A3EA8}">
  <dimension ref="E3:E8"/>
  <sheetViews>
    <sheetView topLeftCell="F1" zoomScale="70" zoomScaleNormal="70" workbookViewId="0">
      <selection activeCell="F44" sqref="F44"/>
    </sheetView>
  </sheetViews>
  <sheetFormatPr defaultRowHeight="14.25"/>
  <cols>
    <col min="3" max="3" width="12.625" customWidth="1"/>
    <col min="4" max="4" width="10.75" customWidth="1"/>
    <col min="5" max="5" width="36.75" customWidth="1"/>
    <col min="6" max="6" width="255.375" customWidth="1"/>
    <col min="7" max="7" width="6.75" customWidth="1"/>
  </cols>
  <sheetData>
    <row r="3" spans="5:5" ht="51.75" customHeight="1">
      <c r="E3" s="3"/>
    </row>
    <row r="4" spans="5:5" ht="15">
      <c r="E4" s="3"/>
    </row>
    <row r="5" spans="5:5" ht="30" customHeight="1"/>
    <row r="6" spans="5:5" ht="27" customHeight="1"/>
    <row r="7" spans="5:5" ht="32.25" customHeight="1"/>
    <row r="8" spans="5:5" ht="32.25" customHeight="1"/>
  </sheetData>
  <phoneticPr fontId="14" type="noConversion"/>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D3BB2-6110-4C21-BE85-8BBAB9CA64C8}">
  <dimension ref="E2:I7"/>
  <sheetViews>
    <sheetView tabSelected="1" zoomScale="70" zoomScaleNormal="70" workbookViewId="0">
      <selection activeCell="G12" sqref="G12"/>
    </sheetView>
  </sheetViews>
  <sheetFormatPr defaultRowHeight="14.25"/>
  <cols>
    <col min="3" max="3" width="12.625" customWidth="1"/>
    <col min="4" max="4" width="10.75" customWidth="1"/>
    <col min="5" max="5" width="36.75" customWidth="1"/>
    <col min="6" max="6" width="33" customWidth="1"/>
    <col min="7" max="7" width="17" customWidth="1"/>
    <col min="8" max="8" width="15.25" customWidth="1"/>
    <col min="9" max="9" width="73.75" customWidth="1"/>
  </cols>
  <sheetData>
    <row r="2" spans="5:9" ht="96" customHeight="1">
      <c r="E2" s="3"/>
      <c r="F2" s="230" t="s">
        <v>182</v>
      </c>
      <c r="G2" s="231"/>
      <c r="H2" s="231"/>
      <c r="I2" s="231"/>
    </row>
    <row r="3" spans="5:9" ht="15">
      <c r="E3" s="3"/>
      <c r="F3" s="56"/>
      <c r="G3" s="56" t="s">
        <v>172</v>
      </c>
      <c r="H3" s="56" t="s">
        <v>174</v>
      </c>
      <c r="I3" s="56" t="s">
        <v>175</v>
      </c>
    </row>
    <row r="4" spans="5:9" ht="30" customHeight="1">
      <c r="F4" s="56" t="s">
        <v>170</v>
      </c>
      <c r="G4" s="56" t="s">
        <v>173</v>
      </c>
      <c r="H4" s="56" t="s">
        <v>176</v>
      </c>
      <c r="I4" s="56" t="s">
        <v>177</v>
      </c>
    </row>
    <row r="5" spans="5:9" ht="27" customHeight="1">
      <c r="F5" s="56" t="s">
        <v>171</v>
      </c>
      <c r="G5" s="56" t="s">
        <v>173</v>
      </c>
      <c r="H5" s="56" t="s">
        <v>178</v>
      </c>
      <c r="I5" s="56" t="s">
        <v>180</v>
      </c>
    </row>
    <row r="6" spans="5:9" ht="32.25" customHeight="1">
      <c r="F6" s="56" t="s">
        <v>169</v>
      </c>
      <c r="G6" s="56" t="s">
        <v>173</v>
      </c>
      <c r="H6" s="56" t="s">
        <v>179</v>
      </c>
      <c r="I6" s="56" t="s">
        <v>181</v>
      </c>
    </row>
    <row r="7" spans="5:9" ht="32.25" customHeight="1"/>
  </sheetData>
  <mergeCells count="1">
    <mergeCell ref="F2:I2"/>
  </mergeCells>
  <phoneticPr fontId="14"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20</vt:i4>
      </vt:variant>
    </vt:vector>
  </HeadingPairs>
  <TitlesOfParts>
    <vt:vector size="31" baseType="lpstr">
      <vt:lpstr>Version-control</vt:lpstr>
      <vt:lpstr>Debug</vt:lpstr>
      <vt:lpstr>ICD</vt:lpstr>
      <vt:lpstr>General</vt:lpstr>
      <vt:lpstr>Status Reg</vt:lpstr>
      <vt:lpstr>FPGA_VER_REG</vt:lpstr>
      <vt:lpstr>Global config</vt:lpstr>
      <vt:lpstr>BIT_CONFIG</vt:lpstr>
      <vt:lpstr>CH_CFG</vt:lpstr>
      <vt:lpstr>configuration flow</vt:lpstr>
      <vt:lpstr>Checksum-verification</vt:lpstr>
      <vt:lpstr>BIT_CONFIG!_Toc160693716</vt:lpstr>
      <vt:lpstr>CH_CFG!_Toc160693716</vt:lpstr>
      <vt:lpstr>'Checksum-verification'!_Toc160693716</vt:lpstr>
      <vt:lpstr>'configuration flow'!_Toc160693716</vt:lpstr>
      <vt:lpstr>FPGA_VER_REG!_Toc160693716</vt:lpstr>
      <vt:lpstr>General!_Toc160693716</vt:lpstr>
      <vt:lpstr>'Global config'!_Toc160693716</vt:lpstr>
      <vt:lpstr>'Status Reg'!_Toc160693716</vt:lpstr>
      <vt:lpstr>BIT_CONFIG!_Toc160693717</vt:lpstr>
      <vt:lpstr>CH_CFG!_Toc160693717</vt:lpstr>
      <vt:lpstr>'Checksum-verification'!_Toc160693717</vt:lpstr>
      <vt:lpstr>'configuration flow'!_Toc160693717</vt:lpstr>
      <vt:lpstr>FPGA_VER_REG!_Toc160693717</vt:lpstr>
      <vt:lpstr>General!_Toc160693717</vt:lpstr>
      <vt:lpstr>'Global config'!_Toc160693717</vt:lpstr>
      <vt:lpstr>'Status Reg'!_Toc160693717</vt:lpstr>
      <vt:lpstr>BIT_CONFIG!_Toc160693718</vt:lpstr>
      <vt:lpstr>CH_CFG!_Toc160693718</vt:lpstr>
      <vt:lpstr>General!_Toc160693718</vt:lpstr>
      <vt:lpstr>'configuration flow'!_Toc198116074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guy izkovsky</dc:creator>
  <cp:lastModifiedBy>Izkovsky Guy</cp:lastModifiedBy>
  <dcterms:created xsi:type="dcterms:W3CDTF">2015-06-05T18:17:20Z</dcterms:created>
  <dcterms:modified xsi:type="dcterms:W3CDTF">2025-12-23T09:59:11Z</dcterms:modified>
</cp:coreProperties>
</file>