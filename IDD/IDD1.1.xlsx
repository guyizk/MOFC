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drawings/drawing4.xml" ContentType="application/vnd.openxmlformats-officedocument.drawing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gaki1606\Documents\MOFC\"/>
    </mc:Choice>
  </mc:AlternateContent>
  <xr:revisionPtr revIDLastSave="0" documentId="13_ncr:1_{1DC0F78B-5879-441B-AC22-E5766A9526D1}" xr6:coauthVersionLast="36" xr6:coauthVersionMax="47" xr10:uidLastSave="{00000000-0000-0000-0000-000000000000}"/>
  <bookViews>
    <workbookView xWindow="0" yWindow="0" windowWidth="24915" windowHeight="7980" activeTab="3" xr2:uid="{00000000-000D-0000-FFFF-FFFF00000000}"/>
  </bookViews>
  <sheets>
    <sheet name="General" sheetId="2" r:id="rId1"/>
    <sheet name="Status Reg" sheetId="11" r:id="rId2"/>
    <sheet name="Global config" sheetId="10" r:id="rId3"/>
    <sheet name="BIT_CONFIG" sheetId="9" r:id="rId4"/>
    <sheet name="CH_CFG" sheetId="8" r:id="rId5"/>
    <sheet name="configuration flow" sheetId="14" r:id="rId6"/>
  </sheets>
  <definedNames>
    <definedName name="_Toc160693716" localSheetId="3">BIT_CONFIG!$E$4</definedName>
    <definedName name="_Toc160693716" localSheetId="4">CH_CFG!$E$8</definedName>
    <definedName name="_Toc160693716" localSheetId="5">'configuration flow'!$E$4</definedName>
    <definedName name="_Toc160693716" localSheetId="0">General!$E$39</definedName>
    <definedName name="_Toc160693716" localSheetId="2">'Global config'!$E$4</definedName>
    <definedName name="_Toc160693716" localSheetId="1">'Status Reg'!$E$4</definedName>
    <definedName name="_Toc160693717" localSheetId="3">BIT_CONFIG!$E$3</definedName>
    <definedName name="_Toc160693717" localSheetId="4">CH_CFG!$E$7</definedName>
    <definedName name="_Toc160693717" localSheetId="5">'configuration flow'!$E$3</definedName>
    <definedName name="_Toc160693717" localSheetId="0">General!$E$38</definedName>
    <definedName name="_Toc160693717" localSheetId="2">'Global config'!$E$3</definedName>
    <definedName name="_Toc160693717" localSheetId="1">'Status Reg'!$E$3</definedName>
    <definedName name="_Toc160693718" localSheetId="3">BIT_CONFIG!$AI$6</definedName>
    <definedName name="_Toc160693718" localSheetId="4">CH_CFG!$AI$10</definedName>
    <definedName name="_Toc160693718" localSheetId="5">'configuration flow'!#REF!</definedName>
    <definedName name="_Toc160693718" localSheetId="0">General!$AI$41</definedName>
    <definedName name="_Toc160693718" localSheetId="2">'Global config'!#REF!</definedName>
    <definedName name="_Toc160693718" localSheetId="1">'Status Reg'!#REF!</definedName>
    <definedName name="_Toc198116074" localSheetId="5">'configuration flow'!$F$3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1" l="1"/>
  <c r="I3" i="10"/>
  <c r="I3" i="9"/>
  <c r="I8" i="2"/>
  <c r="I7" i="2"/>
  <c r="I6" i="8"/>
  <c r="I5" i="8"/>
  <c r="I4" i="8"/>
  <c r="I3" i="8"/>
  <c r="I36" i="2"/>
  <c r="I35" i="2"/>
  <c r="I14" i="2"/>
  <c r="I13" i="2"/>
  <c r="I11" i="2"/>
  <c r="I10" i="2"/>
  <c r="I9" i="2"/>
  <c r="I6" i="2"/>
  <c r="I5" i="2"/>
  <c r="I4" i="2"/>
  <c r="I3" i="2"/>
  <c r="I19" i="2" l="1"/>
  <c r="I16" i="2"/>
  <c r="I17" i="2" l="1"/>
  <c r="I22" i="2"/>
  <c r="I25" i="2" l="1"/>
  <c r="I20" i="2"/>
  <c r="I23" i="2" l="1"/>
  <c r="I28" i="2"/>
  <c r="I34" i="2" l="1"/>
  <c r="I31" i="2"/>
  <c r="I26" i="2"/>
  <c r="I32" i="2" l="1"/>
  <c r="I29" i="2"/>
</calcChain>
</file>

<file path=xl/sharedStrings.xml><?xml version="1.0" encoding="utf-8"?>
<sst xmlns="http://schemas.openxmlformats.org/spreadsheetml/2006/main" count="330" uniqueCount="176">
  <si>
    <t>DCA1</t>
  </si>
  <si>
    <t>DCA2</t>
  </si>
  <si>
    <t>BIT-FREQ</t>
  </si>
  <si>
    <t>2.75-4.75</t>
  </si>
  <si>
    <t>2-6</t>
  </si>
  <si>
    <t>6-18</t>
  </si>
  <si>
    <t>OPMODE</t>
  </si>
  <si>
    <t>A[6:0]</t>
  </si>
  <si>
    <t>D[23:0]</t>
  </si>
  <si>
    <t>[30:24]</t>
  </si>
  <si>
    <t>R/W</t>
  </si>
  <si>
    <t>Status</t>
  </si>
  <si>
    <t>LCK1</t>
  </si>
  <si>
    <t>LCK2</t>
  </si>
  <si>
    <t>LCK3</t>
  </si>
  <si>
    <t>LCK4</t>
  </si>
  <si>
    <t>LCk5</t>
  </si>
  <si>
    <t>LCk6</t>
  </si>
  <si>
    <t>LCK7</t>
  </si>
  <si>
    <t>LCK8</t>
  </si>
  <si>
    <t>BLCK</t>
  </si>
  <si>
    <t>BIT-DCA</t>
  </si>
  <si>
    <t>ALCK</t>
  </si>
  <si>
    <t>BIT-Config</t>
  </si>
  <si>
    <t>Global config register</t>
  </si>
  <si>
    <t>Temperature</t>
  </si>
  <si>
    <t>VER_ID</t>
  </si>
  <si>
    <t>VER-YEAR</t>
  </si>
  <si>
    <t>VER-MONTH</t>
  </si>
  <si>
    <t>VER-DAY</t>
  </si>
  <si>
    <t>RO</t>
  </si>
  <si>
    <t>TEST_REG</t>
  </si>
  <si>
    <t>DATA[23:0]</t>
  </si>
  <si>
    <t>LOAD</t>
  </si>
  <si>
    <t>LOAD_RF_SETUP</t>
  </si>
  <si>
    <t>CHKSUM</t>
  </si>
  <si>
    <t>WO</t>
  </si>
  <si>
    <t>CHECKSUM</t>
  </si>
  <si>
    <t>RFRDY</t>
  </si>
  <si>
    <t>FPGA_VER_REG</t>
  </si>
  <si>
    <t>SERIAL_NUM</t>
  </si>
  <si>
    <t>SERIAL_NUMBER</t>
  </si>
  <si>
    <t>Command</t>
  </si>
  <si>
    <t>PGOOD</t>
  </si>
  <si>
    <t>addr</t>
  </si>
  <si>
    <t>CH1_CFG_REG1</t>
  </si>
  <si>
    <t>….</t>
  </si>
  <si>
    <t>CH2_CFG_REG1</t>
  </si>
  <si>
    <t>CH3_CFG_REG1</t>
  </si>
  <si>
    <t>CH4_CFG_REG1</t>
  </si>
  <si>
    <t>CH5_CFG_REG1</t>
  </si>
  <si>
    <t>CH6_CFG_REG1</t>
  </si>
  <si>
    <t>CK_STAT</t>
  </si>
  <si>
    <t>CH7_CFG_REG1</t>
  </si>
  <si>
    <t>CH8_CFG_REG1</t>
  </si>
  <si>
    <t>LO2_LCK</t>
  </si>
  <si>
    <t>0.35-4.75</t>
  </si>
  <si>
    <t>0x0</t>
  </si>
  <si>
    <t>0x1</t>
  </si>
  <si>
    <t>0x2</t>
  </si>
  <si>
    <t>0x3</t>
  </si>
  <si>
    <t>ANT</t>
  </si>
  <si>
    <t>BIT</t>
  </si>
  <si>
    <t>RFIBS</t>
  </si>
  <si>
    <t>IFOBS</t>
  </si>
  <si>
    <t>TF1_VSW</t>
  </si>
  <si>
    <t>TF1_VL</t>
  </si>
  <si>
    <t>TF1_VH</t>
  </si>
  <si>
    <t>TF3_VH</t>
  </si>
  <si>
    <t>TF3_VL</t>
  </si>
  <si>
    <t>TF3_VSW</t>
  </si>
  <si>
    <t>TF2_HPF</t>
  </si>
  <si>
    <t>TF2_HPF_STATE</t>
  </si>
  <si>
    <t>TF2_LPF_STATE</t>
  </si>
  <si>
    <t>Fieldname</t>
  </si>
  <si>
    <t>Description</t>
  </si>
  <si>
    <t>RF IN Source: Select between Bit and ANT
directly control SW5</t>
  </si>
  <si>
    <t>RFISRC</t>
  </si>
  <si>
    <t>RF Input Band select:
contolr switch 2,3,4 see table below</t>
  </si>
  <si>
    <t>IF Out Band select: 
directly control SW5</t>
  </si>
  <si>
    <t>BITS</t>
  </si>
  <si>
    <t>[0]</t>
  </si>
  <si>
    <t>[2:1]</t>
  </si>
  <si>
    <t>[3]</t>
  </si>
  <si>
    <t>[9:4]</t>
  </si>
  <si>
    <t>[15:10]</t>
  </si>
  <si>
    <t>RSVD</t>
  </si>
  <si>
    <t>[23:16]</t>
  </si>
  <si>
    <t>[1:0]</t>
  </si>
  <si>
    <t>Directly control the TF1 switch control pins VSW2,VSW1 details are in am3156 datasheet</t>
  </si>
  <si>
    <t>Directly control the TF1 Low pass filter  control pins VL4,VL3,VL2,VL1 , details are in am3156 datasheet</t>
  </si>
  <si>
    <t>Directly control the TF1 High pass filter  control pins VH4,VH3,VH2,VH1 , details are in am3156 datasheet</t>
  </si>
  <si>
    <t>Directly control the TF3 switch control pins VSW2,VSW1 details are in am3156 datasheet</t>
  </si>
  <si>
    <t>Directly control the TF3 Low pass filter  control pins VL4,VL3,VL2,VL1 , details are in am3156 datasheet</t>
  </si>
  <si>
    <t>Directly control the TF3 High pass filter  control pins VH4,VH3,VH2,VH1 , details are in am3156 datasheet</t>
  </si>
  <si>
    <t>[5:2]</t>
  </si>
  <si>
    <t>[9:6]</t>
  </si>
  <si>
    <t>[11:10]</t>
  </si>
  <si>
    <t>[23:20]</t>
  </si>
  <si>
    <t>select the HPF state 0 to 15, each stae increment the cutoff frequency of the selcted HPF e.g for HPF1 state 0 assign the cutoff frequency to 1.75 GHz, state15 to 3.55 Ghz (1.75+0.12*15)</t>
  </si>
  <si>
    <t>select TF2 LPF band LPF1/ LPF2/ LPF3/ LPF4, for more details at admv8818-ep datasheet</t>
  </si>
  <si>
    <t>select the LPF state 0 to 15, each state increment the cutoff frequency of the selcted LPF e.g for LPF1 state 0 assign the cutoff frequency to 2.05 GHz, state15 to 3.85 Ghz (2.05+0.12*15)</t>
  </si>
  <si>
    <t>select TF2 HPF band HPF1/HPF2/HPF3/HPF4, for more details at admv8818-ep datasheet</t>
  </si>
  <si>
    <t>[7:6]</t>
  </si>
  <si>
    <t>[11:8]</t>
  </si>
  <si>
    <t>[14:0]</t>
  </si>
  <si>
    <t>set the Channel LO frequency LSB is 1[Mhz]</t>
  </si>
  <si>
    <t>[23:13]</t>
  </si>
  <si>
    <t>Reserved bits, in write assign to 0's, in read  return 0's</t>
  </si>
  <si>
    <t>LO_PDWN</t>
  </si>
  <si>
    <t>LO_FREQ</t>
  </si>
  <si>
    <t>[15]</t>
  </si>
  <si>
    <t>Power down LO</t>
  </si>
  <si>
    <t>[2:0]</t>
  </si>
  <si>
    <t>0x4</t>
  </si>
  <si>
    <t>LPF Bypass</t>
  </si>
  <si>
    <t>LPF1: 2.05-3.85 GHz, LSB 0.12 GHZ</t>
  </si>
  <si>
    <t>LPF2: 3.35-7.25 GHz, LSB 0.26 GHZ</t>
  </si>
  <si>
    <t>LPF3: 7.0-13.0 GHz, LSB 0.36 GHZ</t>
  </si>
  <si>
    <t>LPF4: 12.55-18.85 GHz, LSB 0.49 GHZ</t>
  </si>
  <si>
    <t>HPF Bypass</t>
  </si>
  <si>
    <t>HPF1: 1.75-3.55 GHz, LSB 0.12 GHZ</t>
  </si>
  <si>
    <t>HPF2: 3.40-7.25 GHz, LSB 0.26 GHZ</t>
  </si>
  <si>
    <t>HPF3: 6.6-12.0 GHz, LSB 0.36 GHZ</t>
  </si>
  <si>
    <t>HPF4: 12.5-19.9 GHz, LSB 0.49 GHZ</t>
  </si>
  <si>
    <t>TF2_LPF_SW</t>
  </si>
  <si>
    <t>TF2_HPF_SW</t>
  </si>
  <si>
    <t>directly control attenuation of DCA1, LSB is 0.5[db] range of attenuation is betenn 0 and 31.5[db]</t>
  </si>
  <si>
    <t>dircectly control attenuation of DCA1 LSB is 0.5[db] range of attenuation is betenn 0 and 31.5[db]</t>
  </si>
  <si>
    <t>TERMINATED</t>
  </si>
  <si>
    <t>CH1_CFG_REG4</t>
  </si>
  <si>
    <t>CH2_CFG_REG4</t>
  </si>
  <si>
    <t>CH3_CFG_REG4</t>
  </si>
  <si>
    <t>CH4_CFG_REG4</t>
  </si>
  <si>
    <t>CH5_CFG_REG4</t>
  </si>
  <si>
    <t>CH6_CFG_REG4</t>
  </si>
  <si>
    <t>CH7_CFG_REG4</t>
  </si>
  <si>
    <t>CH8_CFG_REG4</t>
  </si>
  <si>
    <t>channel 1 configuration icluding: DCA values, Muxes control, Tunable filter control, LO frequency</t>
  </si>
  <si>
    <t>channel 2 configuration icluding: DCA values, Muxes control, Tunable filter control, LO frequency</t>
  </si>
  <si>
    <t>channel 3 configuration icluding: DCA values, Muxes control, Tunable filter control, LO frequency</t>
  </si>
  <si>
    <t>channel 4 configuration icluding: DCA values, Muxes control, Tunable filter control, LO frequency</t>
  </si>
  <si>
    <t>channel 5 configuration icluding: DCA values, Muxes control, Tunable filter control, LO frequency</t>
  </si>
  <si>
    <t>channel 6 configuration icluding: DCA values, Muxes control, Tunable filter control, LO frequency</t>
  </si>
  <si>
    <t>channel 7 configuration icluding: DCA values, Muxes control, Tunable filter control, LO frequency</t>
  </si>
  <si>
    <t>channel 8 configuration icluding: DCA values, Muxes control, Tunable filter control, LO frequency</t>
  </si>
  <si>
    <t>Pls/CW</t>
  </si>
  <si>
    <t>CFGREG1</t>
  </si>
  <si>
    <t>CFGREG2</t>
  </si>
  <si>
    <t>CFGREG3</t>
  </si>
  <si>
    <t>CFGREG4</t>
  </si>
  <si>
    <t>[15;0]</t>
  </si>
  <si>
    <t>set the BIT  frequency LSB is 1[Mhz]</t>
  </si>
  <si>
    <t>directly control attenuation of BIT DCA, LSB is 0.5[db] range of attenuation is betenn 0 and 31.5[db]</t>
  </si>
  <si>
    <t>[21:16]</t>
  </si>
  <si>
    <t>CW</t>
  </si>
  <si>
    <t>INT/EXT</t>
  </si>
  <si>
    <t>CW/PLS</t>
  </si>
  <si>
    <t>PLS</t>
  </si>
  <si>
    <t>INTERNAL BIT</t>
  </si>
  <si>
    <t>EXTERNAL BIT</t>
  </si>
  <si>
    <t>CW ot pulse mode, incase of Pulse mode Pulsewidth and PRI are defined in global cobfig register</t>
  </si>
  <si>
    <t>PM_PWID</t>
  </si>
  <si>
    <t>PM_PRI</t>
  </si>
  <si>
    <r>
      <t xml:space="preserve"> dictates how channel configurations are applied:
</t>
    </r>
    <r>
      <rPr>
        <b/>
        <sz val="11"/>
        <color theme="1"/>
        <rFont val="Arial"/>
        <family val="2"/>
        <scheme val="minor"/>
      </rPr>
      <t>Single Channel Mode (0x0)</t>
    </r>
    <r>
      <rPr>
        <sz val="11"/>
        <color theme="1"/>
        <rFont val="Arial"/>
        <family val="2"/>
        <scheme val="minor"/>
      </rPr>
      <t xml:space="preserve">: Each of the eight channels is individually configured by the master.
</t>
    </r>
    <r>
      <rPr>
        <b/>
        <sz val="11"/>
        <color theme="1"/>
        <rFont val="Arial"/>
        <family val="2"/>
        <scheme val="minor"/>
      </rPr>
      <t>Common Quad Mode (0x1)</t>
    </r>
    <r>
      <rPr>
        <sz val="11"/>
        <color theme="1"/>
        <rFont val="Arial"/>
        <family val="2"/>
        <scheme val="minor"/>
      </rPr>
      <t xml:space="preserve">: The master fills configurations for channels 1 and 2. Channel 1’s configuration is used for channels 2, 3, and 4, and channel 2’s configuration is used for channels 6, 7, and 8.
</t>
    </r>
    <r>
      <rPr>
        <b/>
        <sz val="11"/>
        <color theme="1"/>
        <rFont val="Arial"/>
        <family val="2"/>
        <scheme val="minor"/>
      </rPr>
      <t>Common Octal Mode (0x2)</t>
    </r>
    <r>
      <rPr>
        <sz val="11"/>
        <color theme="1"/>
        <rFont val="Arial"/>
        <family val="2"/>
        <scheme val="minor"/>
      </rPr>
      <t>: The master configures only channel 1. This configuration is then applied to all remaining channels (2-8).</t>
    </r>
  </si>
  <si>
    <t>refers to BIT pulse mode, detrmine the Pulse Widht LSB is 1[us[, default is 10 (10[us])</t>
  </si>
  <si>
    <t>[7:2]</t>
  </si>
  <si>
    <t>[19:8]</t>
  </si>
  <si>
    <t>PS</t>
  </si>
  <si>
    <t>Remarks</t>
  </si>
  <si>
    <t>See Global config tab</t>
  </si>
  <si>
    <t>See BIT_CONFIG tab</t>
  </si>
  <si>
    <t>See Status reg tab</t>
  </si>
  <si>
    <t>See configuration flow tab</t>
  </si>
  <si>
    <t>See CH_CFG tab</t>
  </si>
  <si>
    <t>refers to BIT pulse mode, detrmine the Pulse PRI LSB is 1[us[, default is 100 (10[us])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</si>
</sst>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16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center" indent="8"/>
    </xf>
    <xf numFmtId="0" fontId="2" fillId="3" borderId="1" xfId="1" applyBorder="1" applyAlignment="1">
      <alignment horizontal="center" vertical="center"/>
    </xf>
    <xf numFmtId="49" fontId="2" fillId="3" borderId="1" xfId="1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4" borderId="1" xfId="2" applyFont="1" applyBorder="1" applyAlignment="1">
      <alignment horizontal="center" vertical="center"/>
    </xf>
    <xf numFmtId="49" fontId="1" fillId="4" borderId="1" xfId="2" applyNumberFormat="1" applyFont="1" applyBorder="1" applyAlignment="1">
      <alignment horizontal="center" vertical="center"/>
    </xf>
    <xf numFmtId="46" fontId="1" fillId="4" borderId="1" xfId="2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180"/>
    </xf>
    <xf numFmtId="0" fontId="0" fillId="0" borderId="1" xfId="0" applyBorder="1" applyAlignment="1">
      <alignment horizontal="center" vertical="center"/>
    </xf>
    <xf numFmtId="2" fontId="0" fillId="4" borderId="1" xfId="2" applyNumberFormat="1" applyFont="1" applyBorder="1" applyAlignment="1">
      <alignment horizontal="center" vertical="center"/>
    </xf>
    <xf numFmtId="2" fontId="2" fillId="3" borderId="1" xfId="1" applyNumberFormat="1" applyBorder="1" applyAlignment="1">
      <alignment horizontal="center" vertical="center"/>
    </xf>
    <xf numFmtId="2" fontId="0" fillId="0" borderId="0" xfId="0" applyNumberFormat="1"/>
    <xf numFmtId="1" fontId="5" fillId="0" borderId="1" xfId="0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49" fontId="5" fillId="0" borderId="6" xfId="0" applyNumberFormat="1" applyFont="1" applyBorder="1" applyAlignment="1">
      <alignment vertical="center"/>
    </xf>
    <xf numFmtId="1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7" borderId="7" xfId="0" applyFont="1" applyFill="1" applyBorder="1" applyAlignment="1">
      <alignment horizontal="center" vertical="center"/>
    </xf>
    <xf numFmtId="49" fontId="5" fillId="7" borderId="8" xfId="0" applyNumberFormat="1" applyFont="1" applyFill="1" applyBorder="1" applyAlignment="1">
      <alignment vertical="center"/>
    </xf>
    <xf numFmtId="1" fontId="5" fillId="7" borderId="8" xfId="0" applyNumberFormat="1" applyFont="1" applyFill="1" applyBorder="1" applyAlignment="1">
      <alignment vertical="center"/>
    </xf>
    <xf numFmtId="0" fontId="5" fillId="7" borderId="8" xfId="0" applyFont="1" applyFill="1" applyBorder="1" applyAlignment="1">
      <alignment vertical="center"/>
    </xf>
    <xf numFmtId="0" fontId="5" fillId="7" borderId="14" xfId="0" applyFont="1" applyFill="1" applyBorder="1" applyAlignment="1">
      <alignment horizontal="center" vertical="center"/>
    </xf>
    <xf numFmtId="49" fontId="5" fillId="7" borderId="15" xfId="0" applyNumberFormat="1" applyFont="1" applyFill="1" applyBorder="1" applyAlignment="1">
      <alignment vertical="center"/>
    </xf>
    <xf numFmtId="1" fontId="5" fillId="7" borderId="15" xfId="0" applyNumberFormat="1" applyFont="1" applyFill="1" applyBorder="1" applyAlignment="1">
      <alignment vertical="center"/>
    </xf>
    <xf numFmtId="0" fontId="5" fillId="7" borderId="15" xfId="0" applyFont="1" applyFill="1" applyBorder="1" applyAlignment="1">
      <alignment vertical="center"/>
    </xf>
    <xf numFmtId="0" fontId="5" fillId="8" borderId="7" xfId="0" applyFont="1" applyFill="1" applyBorder="1" applyAlignment="1">
      <alignment horizontal="center" vertical="center"/>
    </xf>
    <xf numFmtId="49" fontId="5" fillId="8" borderId="8" xfId="0" applyNumberFormat="1" applyFont="1" applyFill="1" applyBorder="1" applyAlignment="1">
      <alignment vertical="center"/>
    </xf>
    <xf numFmtId="1" fontId="5" fillId="8" borderId="8" xfId="0" applyNumberFormat="1" applyFont="1" applyFill="1" applyBorder="1" applyAlignment="1">
      <alignment vertical="center"/>
    </xf>
    <xf numFmtId="0" fontId="5" fillId="8" borderId="8" xfId="0" applyFont="1" applyFill="1" applyBorder="1" applyAlignment="1">
      <alignment vertical="center"/>
    </xf>
    <xf numFmtId="0" fontId="5" fillId="8" borderId="14" xfId="0" applyFont="1" applyFill="1" applyBorder="1" applyAlignment="1">
      <alignment horizontal="center" vertical="center"/>
    </xf>
    <xf numFmtId="49" fontId="5" fillId="8" borderId="15" xfId="0" applyNumberFormat="1" applyFont="1" applyFill="1" applyBorder="1" applyAlignment="1">
      <alignment vertical="center"/>
    </xf>
    <xf numFmtId="1" fontId="5" fillId="8" borderId="15" xfId="0" applyNumberFormat="1" applyFont="1" applyFill="1" applyBorder="1" applyAlignment="1">
      <alignment vertical="center"/>
    </xf>
    <xf numFmtId="0" fontId="5" fillId="8" borderId="15" xfId="0" applyFont="1" applyFill="1" applyBorder="1" applyAlignment="1">
      <alignment vertical="center"/>
    </xf>
    <xf numFmtId="49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1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/>
    <xf numFmtId="0" fontId="0" fillId="9" borderId="1" xfId="0" applyFill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/>
    <xf numFmtId="49" fontId="0" fillId="9" borderId="1" xfId="0" applyNumberForma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vertical="center"/>
    </xf>
    <xf numFmtId="1" fontId="5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0" borderId="6" xfId="0" applyFont="1" applyBorder="1" applyAlignment="1">
      <alignment horizontal="center" vertical="center" textRotation="180"/>
    </xf>
    <xf numFmtId="0" fontId="5" fillId="7" borderId="9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vertical="center"/>
    </xf>
    <xf numFmtId="0" fontId="7" fillId="7" borderId="3" xfId="0" applyFont="1" applyFill="1" applyBorder="1" applyAlignment="1">
      <alignment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vertical="center"/>
    </xf>
    <xf numFmtId="0" fontId="7" fillId="8" borderId="3" xfId="0" applyFont="1" applyFill="1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3" borderId="1" xfId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9" borderId="6" xfId="0" applyFill="1" applyBorder="1" applyAlignment="1">
      <alignment horizontal="left" vertical="center" wrapText="1"/>
    </xf>
    <xf numFmtId="0" fontId="0" fillId="9" borderId="23" xfId="0" applyFill="1" applyBorder="1" applyAlignment="1">
      <alignment horizontal="left" vertical="center" wrapText="1"/>
    </xf>
    <xf numFmtId="0" fontId="0" fillId="9" borderId="22" xfId="0" applyFill="1" applyBorder="1" applyAlignment="1">
      <alignment horizontal="left" vertical="center" wrapText="1"/>
    </xf>
    <xf numFmtId="49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0" fontId="0" fillId="9" borderId="1" xfId="0" applyFill="1" applyBorder="1"/>
    <xf numFmtId="0" fontId="0" fillId="10" borderId="1" xfId="0" applyFill="1" applyBorder="1" applyAlignment="1">
      <alignment horizontal="center" vertical="center"/>
    </xf>
    <xf numFmtId="1" fontId="0" fillId="9" borderId="24" xfId="0" applyNumberForma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0" fillId="9" borderId="24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customXml" Target="../ink/ink1.xml"/><Relationship Id="rId7" Type="http://schemas.openxmlformats.org/officeDocument/2006/relationships/customXml" Target="../ink/ink3.xml"/><Relationship Id="rId12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customXml" Target="../ink/ink5.xml"/><Relationship Id="rId5" Type="http://schemas.openxmlformats.org/officeDocument/2006/relationships/customXml" Target="../ink/ink2.xml"/><Relationship Id="rId10" Type="http://schemas.openxmlformats.org/officeDocument/2006/relationships/image" Target="../media/image7.png"/><Relationship Id="rId4" Type="http://schemas.openxmlformats.org/officeDocument/2006/relationships/image" Target="../media/image4.png"/><Relationship Id="rId9" Type="http://schemas.openxmlformats.org/officeDocument/2006/relationships/customXml" Target="../ink/ink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ustomXml" Target="../ink/ink6.xml"/><Relationship Id="rId13" Type="http://schemas.openxmlformats.org/officeDocument/2006/relationships/image" Target="../media/image17.png"/><Relationship Id="rId18" Type="http://schemas.openxmlformats.org/officeDocument/2006/relationships/customXml" Target="../ink/ink11.xml"/><Relationship Id="rId26" Type="http://schemas.openxmlformats.org/officeDocument/2006/relationships/customXml" Target="../ink/ink15.xml"/><Relationship Id="rId3" Type="http://schemas.openxmlformats.org/officeDocument/2006/relationships/image" Target="../media/image11.png"/><Relationship Id="rId21" Type="http://schemas.openxmlformats.org/officeDocument/2006/relationships/image" Target="../media/image21.png"/><Relationship Id="rId34" Type="http://schemas.openxmlformats.org/officeDocument/2006/relationships/customXml" Target="../ink/ink19.xml"/><Relationship Id="rId7" Type="http://schemas.openxmlformats.org/officeDocument/2006/relationships/image" Target="../media/image14.png"/><Relationship Id="rId12" Type="http://schemas.openxmlformats.org/officeDocument/2006/relationships/customXml" Target="../ink/ink8.xml"/><Relationship Id="rId17" Type="http://schemas.openxmlformats.org/officeDocument/2006/relationships/image" Target="../media/image19.png"/><Relationship Id="rId25" Type="http://schemas.openxmlformats.org/officeDocument/2006/relationships/image" Target="../media/image23.png"/><Relationship Id="rId33" Type="http://schemas.openxmlformats.org/officeDocument/2006/relationships/image" Target="../media/image27.png"/><Relationship Id="rId2" Type="http://schemas.openxmlformats.org/officeDocument/2006/relationships/image" Target="../media/image10.png"/><Relationship Id="rId16" Type="http://schemas.openxmlformats.org/officeDocument/2006/relationships/customXml" Target="../ink/ink10.xml"/><Relationship Id="rId20" Type="http://schemas.openxmlformats.org/officeDocument/2006/relationships/customXml" Target="../ink/ink12.xml"/><Relationship Id="rId29" Type="http://schemas.openxmlformats.org/officeDocument/2006/relationships/image" Target="../media/image25.png"/><Relationship Id="rId1" Type="http://schemas.openxmlformats.org/officeDocument/2006/relationships/image" Target="../media/image9.png"/><Relationship Id="rId6" Type="http://schemas.openxmlformats.org/officeDocument/2006/relationships/image" Target="../media/image13.png"/><Relationship Id="rId11" Type="http://schemas.openxmlformats.org/officeDocument/2006/relationships/image" Target="../media/image16.png"/><Relationship Id="rId24" Type="http://schemas.openxmlformats.org/officeDocument/2006/relationships/customXml" Target="../ink/ink14.xml"/><Relationship Id="rId32" Type="http://schemas.openxmlformats.org/officeDocument/2006/relationships/customXml" Target="../ink/ink18.xml"/><Relationship Id="rId5" Type="http://schemas.openxmlformats.org/officeDocument/2006/relationships/image" Target="../media/image12.png"/><Relationship Id="rId15" Type="http://schemas.openxmlformats.org/officeDocument/2006/relationships/image" Target="../media/image18.png"/><Relationship Id="rId23" Type="http://schemas.openxmlformats.org/officeDocument/2006/relationships/image" Target="../media/image22.png"/><Relationship Id="rId28" Type="http://schemas.openxmlformats.org/officeDocument/2006/relationships/customXml" Target="../ink/ink16.xml"/><Relationship Id="rId10" Type="http://schemas.openxmlformats.org/officeDocument/2006/relationships/customXml" Target="../ink/ink7.xml"/><Relationship Id="rId19" Type="http://schemas.openxmlformats.org/officeDocument/2006/relationships/image" Target="../media/image20.png"/><Relationship Id="rId31" Type="http://schemas.openxmlformats.org/officeDocument/2006/relationships/image" Target="../media/image26.png"/><Relationship Id="rId4" Type="http://schemas.openxmlformats.org/officeDocument/2006/relationships/image" Target="../media/image1.png"/><Relationship Id="rId9" Type="http://schemas.openxmlformats.org/officeDocument/2006/relationships/image" Target="../media/image15.png"/><Relationship Id="rId14" Type="http://schemas.openxmlformats.org/officeDocument/2006/relationships/customXml" Target="../ink/ink9.xml"/><Relationship Id="rId22" Type="http://schemas.openxmlformats.org/officeDocument/2006/relationships/customXml" Target="../ink/ink13.xml"/><Relationship Id="rId27" Type="http://schemas.openxmlformats.org/officeDocument/2006/relationships/image" Target="../media/image24.png"/><Relationship Id="rId30" Type="http://schemas.openxmlformats.org/officeDocument/2006/relationships/customXml" Target="../ink/ink17.xml"/><Relationship Id="rId35" Type="http://schemas.openxmlformats.org/officeDocument/2006/relationships/image" Target="../media/image2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15369</xdr:colOff>
      <xdr:row>68</xdr:row>
      <xdr:rowOff>123266</xdr:rowOff>
    </xdr:from>
    <xdr:to>
      <xdr:col>47</xdr:col>
      <xdr:colOff>272800</xdr:colOff>
      <xdr:row>76</xdr:row>
      <xdr:rowOff>46321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4EE609-7EE4-4033-9F2D-D73D85AC5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08069" y="13858316"/>
          <a:ext cx="6824238" cy="1447055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0</xdr:row>
      <xdr:rowOff>0</xdr:rowOff>
    </xdr:from>
    <xdr:to>
      <xdr:col>46</xdr:col>
      <xdr:colOff>233484</xdr:colOff>
      <xdr:row>32</xdr:row>
      <xdr:rowOff>20076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595700-7FCB-D94B-87A6-AA867DE06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60786" y="0"/>
          <a:ext cx="5744377" cy="73543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15369</xdr:colOff>
      <xdr:row>67</xdr:row>
      <xdr:rowOff>123266</xdr:rowOff>
    </xdr:from>
    <xdr:to>
      <xdr:col>40</xdr:col>
      <xdr:colOff>3239157</xdr:colOff>
      <xdr:row>75</xdr:row>
      <xdr:rowOff>46321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F1D5F0-2363-4619-9DA7-4E253F63F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08069" y="14201216"/>
          <a:ext cx="6820774" cy="14470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15369</xdr:colOff>
      <xdr:row>71</xdr:row>
      <xdr:rowOff>123266</xdr:rowOff>
    </xdr:from>
    <xdr:to>
      <xdr:col>40</xdr:col>
      <xdr:colOff>3464293</xdr:colOff>
      <xdr:row>79</xdr:row>
      <xdr:rowOff>46321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190A766-B058-4118-8741-41B538436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08069" y="22964216"/>
          <a:ext cx="6820774" cy="1447055"/>
        </a:xfrm>
        <a:prstGeom prst="rect">
          <a:avLst/>
        </a:prstGeom>
      </xdr:spPr>
    </xdr:pic>
    <xdr:clientData/>
  </xdr:twoCellAnchor>
  <xdr:twoCellAnchor editAs="oneCell">
    <xdr:from>
      <xdr:col>4</xdr:col>
      <xdr:colOff>2041072</xdr:colOff>
      <xdr:row>10</xdr:row>
      <xdr:rowOff>163286</xdr:rowOff>
    </xdr:from>
    <xdr:to>
      <xdr:col>35</xdr:col>
      <xdr:colOff>586915</xdr:colOff>
      <xdr:row>29</xdr:row>
      <xdr:rowOff>30423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982AD85-6F80-EE7B-0C38-06209DADC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30536" y="2626179"/>
          <a:ext cx="12955808" cy="3486637"/>
        </a:xfrm>
        <a:prstGeom prst="rect">
          <a:avLst/>
        </a:prstGeom>
      </xdr:spPr>
    </xdr:pic>
    <xdr:clientData/>
  </xdr:twoCellAnchor>
  <xdr:twoCellAnchor editAs="oneCell">
    <xdr:from>
      <xdr:col>5</xdr:col>
      <xdr:colOff>1156834</xdr:colOff>
      <xdr:row>2</xdr:row>
      <xdr:rowOff>666600</xdr:rowOff>
    </xdr:from>
    <xdr:to>
      <xdr:col>18</xdr:col>
      <xdr:colOff>149863</xdr:colOff>
      <xdr:row>21</xdr:row>
      <xdr:rowOff>13967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3FA5C708-62EC-FC67-B2AF-56AC07970577}"/>
                </a:ext>
              </a:extLst>
            </xdr14:cNvPr>
            <xdr14:cNvContentPartPr/>
          </xdr14:nvContentPartPr>
          <xdr14:nvPr macro=""/>
          <xdr14:xfrm>
            <a:off x="6395584" y="1047600"/>
            <a:ext cx="5034600" cy="35247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3FA5C708-62EC-FC67-B2AF-56AC0797057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389403" y="1041474"/>
              <a:ext cx="5046961" cy="35370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1056034</xdr:colOff>
      <xdr:row>15</xdr:row>
      <xdr:rowOff>0</xdr:rowOff>
    </xdr:from>
    <xdr:to>
      <xdr:col>5</xdr:col>
      <xdr:colOff>1299034</xdr:colOff>
      <xdr:row>16</xdr:row>
      <xdr:rowOff>45300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B60C6705-9773-AB38-636F-12AF1A2FAEA8}"/>
                </a:ext>
              </a:extLst>
            </xdr14:cNvPr>
            <xdr14:cNvContentPartPr/>
          </xdr14:nvContentPartPr>
          <xdr14:nvPr macro=""/>
          <xdr14:xfrm>
            <a:off x="6294784" y="4364280"/>
            <a:ext cx="243000" cy="23580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B60C6705-9773-AB38-636F-12AF1A2FAEA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288664" y="4358160"/>
              <a:ext cx="255240" cy="24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217320</xdr:colOff>
      <xdr:row>2</xdr:row>
      <xdr:rowOff>680280</xdr:rowOff>
    </xdr:from>
    <xdr:to>
      <xdr:col>18</xdr:col>
      <xdr:colOff>205663</xdr:colOff>
      <xdr:row>21</xdr:row>
      <xdr:rowOff>43487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15FF29B6-4A45-BA19-7CE5-EF3D19A44924}"/>
                </a:ext>
              </a:extLst>
            </xdr14:cNvPr>
            <xdr14:cNvContentPartPr/>
          </xdr14:nvContentPartPr>
          <xdr14:nvPr macro=""/>
          <xdr14:xfrm>
            <a:off x="10245784" y="1061280"/>
            <a:ext cx="1240200" cy="354060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15FF29B6-4A45-BA19-7CE5-EF3D19A4492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239664" y="1055160"/>
              <a:ext cx="1252440" cy="355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162377</xdr:colOff>
      <xdr:row>2</xdr:row>
      <xdr:rowOff>734280</xdr:rowOff>
    </xdr:from>
    <xdr:to>
      <xdr:col>13</xdr:col>
      <xdr:colOff>294484</xdr:colOff>
      <xdr:row>21</xdr:row>
      <xdr:rowOff>119807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7D563243-27CE-7D7D-4FD9-E593E6FDC5CF}"/>
                </a:ext>
              </a:extLst>
            </xdr14:cNvPr>
            <xdr14:cNvContentPartPr/>
          </xdr14:nvContentPartPr>
          <xdr14:nvPr macro=""/>
          <xdr14:xfrm>
            <a:off x="8938984" y="1115280"/>
            <a:ext cx="1071000" cy="35629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7D563243-27CE-7D7D-4FD9-E593E6FDC5CF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932864" y="1109160"/>
              <a:ext cx="1083240" cy="357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123621</xdr:colOff>
      <xdr:row>2</xdr:row>
      <xdr:rowOff>680280</xdr:rowOff>
    </xdr:from>
    <xdr:to>
      <xdr:col>29</xdr:col>
      <xdr:colOff>137335</xdr:colOff>
      <xdr:row>20</xdr:row>
      <xdr:rowOff>137507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D864ED34-670E-BD05-BECB-89558BC44355}"/>
                </a:ext>
              </a:extLst>
            </xdr14:cNvPr>
            <xdr14:cNvContentPartPr/>
          </xdr14:nvContentPartPr>
          <xdr14:nvPr macro=""/>
          <xdr14:xfrm>
            <a:off x="8587264" y="1061280"/>
            <a:ext cx="6273000" cy="34441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D864ED34-670E-BD05-BECB-89558BC44355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8581120" y="1055154"/>
              <a:ext cx="6285288" cy="3456373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653247</xdr:colOff>
      <xdr:row>12</xdr:row>
      <xdr:rowOff>97547</xdr:rowOff>
    </xdr:from>
    <xdr:to>
      <xdr:col>34</xdr:col>
      <xdr:colOff>221968</xdr:colOff>
      <xdr:row>22</xdr:row>
      <xdr:rowOff>86096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F97984-EFB7-494E-A33C-A29CF9CB9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1533" y="4274940"/>
          <a:ext cx="14087542" cy="2846049"/>
        </a:xfrm>
        <a:prstGeom prst="rect">
          <a:avLst/>
        </a:prstGeom>
      </xdr:spPr>
    </xdr:pic>
    <xdr:clientData/>
  </xdr:twoCellAnchor>
  <xdr:twoCellAnchor editAs="oneCell">
    <xdr:from>
      <xdr:col>13</xdr:col>
      <xdr:colOff>302561</xdr:colOff>
      <xdr:row>56</xdr:row>
      <xdr:rowOff>180314</xdr:rowOff>
    </xdr:from>
    <xdr:to>
      <xdr:col>31</xdr:col>
      <xdr:colOff>34777</xdr:colOff>
      <xdr:row>61</xdr:row>
      <xdr:rowOff>85184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B96B10-C6A5-E799-CFD8-5D57725AB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73237" y="15588402"/>
          <a:ext cx="5379981" cy="857370"/>
        </a:xfrm>
        <a:prstGeom prst="rect">
          <a:avLst/>
        </a:prstGeom>
      </xdr:spPr>
    </xdr:pic>
    <xdr:clientData/>
  </xdr:twoCellAnchor>
  <xdr:twoCellAnchor editAs="oneCell">
    <xdr:from>
      <xdr:col>35</xdr:col>
      <xdr:colOff>510821</xdr:colOff>
      <xdr:row>74</xdr:row>
      <xdr:rowOff>108950</xdr:rowOff>
    </xdr:from>
    <xdr:to>
      <xdr:col>40</xdr:col>
      <xdr:colOff>3521849</xdr:colOff>
      <xdr:row>97</xdr:row>
      <xdr:rowOff>174330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1243D5-32BF-6662-BF1C-2D9F377AE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67027" y="18755538"/>
          <a:ext cx="6985914" cy="4446880"/>
        </a:xfrm>
        <a:prstGeom prst="rect">
          <a:avLst/>
        </a:prstGeom>
      </xdr:spPr>
    </xdr:pic>
    <xdr:clientData/>
  </xdr:twoCellAnchor>
  <xdr:twoCellAnchor editAs="oneCell">
    <xdr:from>
      <xdr:col>36</xdr:col>
      <xdr:colOff>15369</xdr:colOff>
      <xdr:row>98</xdr:row>
      <xdr:rowOff>123266</xdr:rowOff>
    </xdr:from>
    <xdr:to>
      <xdr:col>40</xdr:col>
      <xdr:colOff>3464293</xdr:colOff>
      <xdr:row>106</xdr:row>
      <xdr:rowOff>46321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B798D1-43DF-50FA-EA0C-D47789598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776693" y="23341854"/>
          <a:ext cx="6816291" cy="1447055"/>
        </a:xfrm>
        <a:prstGeom prst="rect">
          <a:avLst/>
        </a:prstGeom>
      </xdr:spPr>
    </xdr:pic>
    <xdr:clientData/>
  </xdr:twoCellAnchor>
  <xdr:twoCellAnchor editAs="oneCell">
    <xdr:from>
      <xdr:col>13</xdr:col>
      <xdr:colOff>103909</xdr:colOff>
      <xdr:row>62</xdr:row>
      <xdr:rowOff>0</xdr:rowOff>
    </xdr:from>
    <xdr:to>
      <xdr:col>32</xdr:col>
      <xdr:colOff>249363</xdr:colOff>
      <xdr:row>95</xdr:row>
      <xdr:rowOff>29456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EA6CC0-2761-B410-5EF1-80342C388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32818" y="15257318"/>
          <a:ext cx="6068272" cy="6315956"/>
        </a:xfrm>
        <a:prstGeom prst="rect">
          <a:avLst/>
        </a:prstGeom>
      </xdr:spPr>
    </xdr:pic>
    <xdr:clientData/>
  </xdr:twoCellAnchor>
  <xdr:twoCellAnchor editAs="oneCell">
    <xdr:from>
      <xdr:col>36</xdr:col>
      <xdr:colOff>398318</xdr:colOff>
      <xdr:row>51</xdr:row>
      <xdr:rowOff>124283</xdr:rowOff>
    </xdr:from>
    <xdr:to>
      <xdr:col>40</xdr:col>
      <xdr:colOff>2444962</xdr:colOff>
      <xdr:row>75</xdr:row>
      <xdr:rowOff>10605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299B8DA-464E-13CE-8477-20F193FDB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159642" y="14389371"/>
          <a:ext cx="5414011" cy="4458322"/>
        </a:xfrm>
        <a:prstGeom prst="rect">
          <a:avLst/>
        </a:prstGeom>
      </xdr:spPr>
    </xdr:pic>
    <xdr:clientData/>
  </xdr:twoCellAnchor>
  <xdr:twoCellAnchor editAs="oneCell">
    <xdr:from>
      <xdr:col>4</xdr:col>
      <xdr:colOff>640773</xdr:colOff>
      <xdr:row>23</xdr:row>
      <xdr:rowOff>242455</xdr:rowOff>
    </xdr:from>
    <xdr:to>
      <xdr:col>24</xdr:col>
      <xdr:colOff>186807</xdr:colOff>
      <xdr:row>39</xdr:row>
      <xdr:rowOff>154361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49CA8AD-87F3-45A9-8C8F-5B8E34609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94364" y="7654637"/>
          <a:ext cx="9850352" cy="4483906"/>
        </a:xfrm>
        <a:prstGeom prst="rect">
          <a:avLst/>
        </a:prstGeom>
      </xdr:spPr>
    </xdr:pic>
    <xdr:clientData/>
  </xdr:twoCellAnchor>
  <xdr:twoCellAnchor editAs="oneCell">
    <xdr:from>
      <xdr:col>4</xdr:col>
      <xdr:colOff>1618963</xdr:colOff>
      <xdr:row>9</xdr:row>
      <xdr:rowOff>26867</xdr:rowOff>
    </xdr:from>
    <xdr:to>
      <xdr:col>38</xdr:col>
      <xdr:colOff>40838</xdr:colOff>
      <xdr:row>14</xdr:row>
      <xdr:rowOff>7847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DA300E10-A632-8195-AB7C-6657F0FCA478}"/>
                </a:ext>
              </a:extLst>
            </xdr14:cNvPr>
            <xdr14:cNvContentPartPr/>
          </xdr14:nvContentPartPr>
          <xdr14:nvPr macro=""/>
          <xdr14:xfrm>
            <a:off x="4408427" y="3632760"/>
            <a:ext cx="15117840" cy="9334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DA300E10-A632-8195-AB7C-6657F0FCA478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403720" y="3628080"/>
              <a:ext cx="15126530" cy="94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33</xdr:col>
      <xdr:colOff>336321</xdr:colOff>
      <xdr:row>15</xdr:row>
      <xdr:rowOff>27227</xdr:rowOff>
    </xdr:from>
    <xdr:to>
      <xdr:col>38</xdr:col>
      <xdr:colOff>109238</xdr:colOff>
      <xdr:row>16</xdr:row>
      <xdr:rowOff>42287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B3587675-D0D3-6848-A5B9-40AA58F294AC}"/>
                </a:ext>
              </a:extLst>
            </xdr14:cNvPr>
            <xdr14:cNvContentPartPr/>
          </xdr14:nvContentPartPr>
          <xdr14:nvPr macro=""/>
          <xdr14:xfrm>
            <a:off x="16311107" y="4776120"/>
            <a:ext cx="3283560" cy="2055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B3587675-D0D3-6848-A5B9-40AA58F294AC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6306771" y="4771800"/>
              <a:ext cx="3292232" cy="21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149520</xdr:colOff>
      <xdr:row>12</xdr:row>
      <xdr:rowOff>95087</xdr:rowOff>
    </xdr:from>
    <xdr:to>
      <xdr:col>38</xdr:col>
      <xdr:colOff>176918</xdr:colOff>
      <xdr:row>19</xdr:row>
      <xdr:rowOff>99587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E1775FFA-4362-BE23-C753-9CE7CFF1EF12}"/>
                </a:ext>
              </a:extLst>
            </xdr14:cNvPr>
            <xdr14:cNvContentPartPr/>
          </xdr14:nvContentPartPr>
          <xdr14:nvPr macro=""/>
          <xdr14:xfrm>
            <a:off x="13307627" y="4272480"/>
            <a:ext cx="6354720" cy="171900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E1775FFA-4362-BE23-C753-9CE7CFF1EF12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3303291" y="4267800"/>
              <a:ext cx="6363392" cy="172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2173723</xdr:colOff>
      <xdr:row>17</xdr:row>
      <xdr:rowOff>313462</xdr:rowOff>
    </xdr:from>
    <xdr:to>
      <xdr:col>24</xdr:col>
      <xdr:colOff>244929</xdr:colOff>
      <xdr:row>23</xdr:row>
      <xdr:rowOff>176894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53A690AD-EAF7-E3E0-6DE6-449349AC0835}"/>
                </a:ext>
              </a:extLst>
            </xdr14:cNvPr>
            <xdr14:cNvContentPartPr/>
          </xdr14:nvContentPartPr>
          <xdr14:nvPr macro=""/>
          <xdr14:xfrm>
            <a:off x="4963187" y="5633855"/>
            <a:ext cx="8439849" cy="1958932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53A690AD-EAF7-E3E0-6DE6-449349AC0835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958834" y="5629535"/>
              <a:ext cx="8448555" cy="19675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271881</xdr:colOff>
      <xdr:row>19</xdr:row>
      <xdr:rowOff>54227</xdr:rowOff>
    </xdr:from>
    <xdr:to>
      <xdr:col>8</xdr:col>
      <xdr:colOff>461089</xdr:colOff>
      <xdr:row>22</xdr:row>
      <xdr:rowOff>231321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68D23911-0F5C-284B-427D-546D7716399A}"/>
                </a:ext>
              </a:extLst>
            </xdr14:cNvPr>
            <xdr14:cNvContentPartPr/>
          </xdr14:nvContentPartPr>
          <xdr14:nvPr macro=""/>
          <xdr14:xfrm>
            <a:off x="8245667" y="5946120"/>
            <a:ext cx="189208" cy="1320094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68D23911-0F5C-284B-427D-546D7716399A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8241342" y="5941800"/>
              <a:ext cx="197858" cy="13287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981197</xdr:colOff>
      <xdr:row>8</xdr:row>
      <xdr:rowOff>80567</xdr:rowOff>
    </xdr:from>
    <xdr:to>
      <xdr:col>38</xdr:col>
      <xdr:colOff>163238</xdr:colOff>
      <xdr:row>16</xdr:row>
      <xdr:rowOff>286007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161D0B8F-4D78-773E-0AC0-10A466B5DA35}"/>
                </a:ext>
              </a:extLst>
            </xdr14:cNvPr>
            <xdr14:cNvContentPartPr/>
          </xdr14:nvContentPartPr>
          <xdr14:nvPr macro=""/>
          <xdr14:xfrm>
            <a:off x="6219947" y="3495960"/>
            <a:ext cx="13428720" cy="172944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161D0B8F-4D78-773E-0AC0-10A466B5DA35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6215601" y="3491640"/>
              <a:ext cx="13437412" cy="173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78836</xdr:colOff>
      <xdr:row>17</xdr:row>
      <xdr:rowOff>217487</xdr:rowOff>
    </xdr:from>
    <xdr:to>
      <xdr:col>38</xdr:col>
      <xdr:colOff>231638</xdr:colOff>
      <xdr:row>22</xdr:row>
      <xdr:rowOff>74747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0623AE7C-9860-4A4F-E8A8-62EF2F5F981C}"/>
                </a:ext>
              </a:extLst>
            </xdr14:cNvPr>
            <xdr14:cNvContentPartPr/>
          </xdr14:nvContentPartPr>
          <xdr14:nvPr macro=""/>
          <xdr14:xfrm>
            <a:off x="13549907" y="5537880"/>
            <a:ext cx="6167160" cy="15717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0623AE7C-9860-4A4F-E8A8-62EF2F5F981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3545572" y="5533560"/>
              <a:ext cx="6175831" cy="158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37</xdr:col>
      <xdr:colOff>904041</xdr:colOff>
      <xdr:row>19</xdr:row>
      <xdr:rowOff>108227</xdr:rowOff>
    </xdr:from>
    <xdr:to>
      <xdr:col>38</xdr:col>
      <xdr:colOff>13478</xdr:colOff>
      <xdr:row>21</xdr:row>
      <xdr:rowOff>282947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F4AA264B-B102-74CD-F92F-976C4B440EFF}"/>
                </a:ext>
              </a:extLst>
            </xdr14:cNvPr>
            <xdr14:cNvContentPartPr/>
          </xdr14:nvContentPartPr>
          <xdr14:nvPr macro=""/>
          <xdr14:xfrm>
            <a:off x="19164827" y="6000120"/>
            <a:ext cx="334080" cy="9367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F4AA264B-B102-74CD-F92F-976C4B440EFF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9160507" y="5995800"/>
              <a:ext cx="342720" cy="94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1493477</xdr:colOff>
      <xdr:row>16</xdr:row>
      <xdr:rowOff>40127</xdr:rowOff>
    </xdr:from>
    <xdr:to>
      <xdr:col>37</xdr:col>
      <xdr:colOff>980001</xdr:colOff>
      <xdr:row>20</xdr:row>
      <xdr:rowOff>287387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9B1F2405-993F-9D3F-8FC7-6FD62F50D590}"/>
                </a:ext>
              </a:extLst>
            </xdr14:cNvPr>
            <xdr14:cNvContentPartPr/>
          </xdr14:nvContentPartPr>
          <xdr14:nvPr macro=""/>
          <xdr14:xfrm>
            <a:off x="6732227" y="4979520"/>
            <a:ext cx="12508560" cy="15807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9B1F2405-993F-9D3F-8FC7-6FD62F50D590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6727877" y="4975200"/>
              <a:ext cx="12517259" cy="158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37</xdr:col>
      <xdr:colOff>1062441</xdr:colOff>
      <xdr:row>22</xdr:row>
      <xdr:rowOff>94907</xdr:rowOff>
    </xdr:from>
    <xdr:to>
      <xdr:col>37</xdr:col>
      <xdr:colOff>1211121</xdr:colOff>
      <xdr:row>24</xdr:row>
      <xdr:rowOff>150107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D73F7A74-6ABE-59F0-1B01-34A5B8DF3923}"/>
                </a:ext>
              </a:extLst>
            </xdr14:cNvPr>
            <xdr14:cNvContentPartPr/>
          </xdr14:nvContentPartPr>
          <xdr14:nvPr macro=""/>
          <xdr14:xfrm>
            <a:off x="19323227" y="7129800"/>
            <a:ext cx="148680" cy="81720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D73F7A74-6ABE-59F0-1B01-34A5B8DF3923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9318907" y="7125480"/>
              <a:ext cx="157320" cy="82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149383</xdr:colOff>
      <xdr:row>16</xdr:row>
      <xdr:rowOff>378887</xdr:rowOff>
    </xdr:from>
    <xdr:to>
      <xdr:col>37</xdr:col>
      <xdr:colOff>1088721</xdr:colOff>
      <xdr:row>23</xdr:row>
      <xdr:rowOff>177227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88805FE5-CF6D-E8B9-EDC8-2B42C3877433}"/>
                </a:ext>
              </a:extLst>
            </xdr14:cNvPr>
            <xdr14:cNvContentPartPr/>
          </xdr14:nvContentPartPr>
          <xdr14:nvPr macro=""/>
          <xdr14:xfrm>
            <a:off x="14559347" y="5318280"/>
            <a:ext cx="4790160" cy="227484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88805FE5-CF6D-E8B9-EDC8-2B42C3877433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4554644" y="5313960"/>
              <a:ext cx="4798842" cy="228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37</xdr:col>
      <xdr:colOff>963441</xdr:colOff>
      <xdr:row>27</xdr:row>
      <xdr:rowOff>54270</xdr:rowOff>
    </xdr:from>
    <xdr:to>
      <xdr:col>38</xdr:col>
      <xdr:colOff>33998</xdr:colOff>
      <xdr:row>37</xdr:row>
      <xdr:rowOff>177750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B946B22D-15EB-5BE3-8761-6CDD18A8602B}"/>
                </a:ext>
              </a:extLst>
            </xdr14:cNvPr>
            <xdr14:cNvContentPartPr/>
          </xdr14:nvContentPartPr>
          <xdr14:nvPr macro=""/>
          <xdr14:xfrm>
            <a:off x="19224227" y="8613163"/>
            <a:ext cx="295200" cy="240948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B946B22D-15EB-5BE3-8761-6CDD18A8602B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9219907" y="8608843"/>
              <a:ext cx="303840" cy="241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1497797</xdr:colOff>
      <xdr:row>17</xdr:row>
      <xdr:rowOff>263730</xdr:rowOff>
    </xdr:from>
    <xdr:to>
      <xdr:col>37</xdr:col>
      <xdr:colOff>966321</xdr:colOff>
      <xdr:row>31</xdr:row>
      <xdr:rowOff>299550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6FB9D423-0CF1-A730-9263-DE3A0EF51E8A}"/>
                </a:ext>
              </a:extLst>
            </xdr14:cNvPr>
            <xdr14:cNvContentPartPr/>
          </xdr14:nvContentPartPr>
          <xdr14:nvPr macro=""/>
          <xdr14:xfrm>
            <a:off x="6736547" y="5584123"/>
            <a:ext cx="12490560" cy="40363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6FB9D423-0CF1-A730-9263-DE3A0EF51E8A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6732197" y="5579803"/>
              <a:ext cx="12499259" cy="404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334637</xdr:colOff>
      <xdr:row>37</xdr:row>
      <xdr:rowOff>132591</xdr:rowOff>
    </xdr:from>
    <xdr:to>
      <xdr:col>38</xdr:col>
      <xdr:colOff>122558</xdr:colOff>
      <xdr:row>39</xdr:row>
      <xdr:rowOff>122631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5459F95E-3F45-40EF-E9D8-63FC3D36DB8F}"/>
                </a:ext>
              </a:extLst>
            </xdr14:cNvPr>
            <xdr14:cNvContentPartPr/>
          </xdr14:nvContentPartPr>
          <xdr14:nvPr macro=""/>
          <xdr14:xfrm>
            <a:off x="5573387" y="10977484"/>
            <a:ext cx="14034600" cy="75204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5459F95E-3F45-40EF-E9D8-63FC3D36DB8F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569042" y="10973164"/>
              <a:ext cx="14043290" cy="760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15369</xdr:colOff>
      <xdr:row>68</xdr:row>
      <xdr:rowOff>123266</xdr:rowOff>
    </xdr:from>
    <xdr:to>
      <xdr:col>17</xdr:col>
      <xdr:colOff>272800</xdr:colOff>
      <xdr:row>76</xdr:row>
      <xdr:rowOff>46321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2617E1-65F2-4AF1-A57F-AE93B2607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08069" y="14325041"/>
          <a:ext cx="6801106" cy="1447055"/>
        </a:xfrm>
        <a:prstGeom prst="rect">
          <a:avLst/>
        </a:prstGeom>
      </xdr:spPr>
    </xdr:pic>
    <xdr:clientData/>
  </xdr:twoCellAnchor>
  <xdr:twoCellAnchor editAs="oneCell">
    <xdr:from>
      <xdr:col>5</xdr:col>
      <xdr:colOff>1401536</xdr:colOff>
      <xdr:row>2</xdr:row>
      <xdr:rowOff>272143</xdr:rowOff>
    </xdr:from>
    <xdr:to>
      <xdr:col>5</xdr:col>
      <xdr:colOff>10259786</xdr:colOff>
      <xdr:row>48</xdr:row>
      <xdr:rowOff>13738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A40A185-C93A-7776-BB5C-E10571421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40286" y="653143"/>
          <a:ext cx="8858250" cy="9742845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2T06:57:55.4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16445 0 22269,'-16445'8962'0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2T06:57:59.2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354 500 24575,'320'0'0,"-909"0"0,588 0 0,-8 0 0,-1 0 0,1-1 0,0 0 0,-17-4 0,25 5 0,0 0 0,0-1 0,0 1 0,0 0 0,0-1 0,0 1 0,0-1 0,0 1 0,0-1 0,0 0 0,1 1 0,-1-1 0,0 1 0,0-1 0,0 1 0,1-1 0,-1 0 0,0 0 0,1 0 0,-1 0 0,1 0 0,-1 0 0,1 0 0,0 0 0,-1 0 0,1 0 0,0 0 0,0 1 0,-1-1 0,1-1 0,0 1 0,0 0 0,0 0 0,1 0 0,-1 0 0,0 0 0,0 0 0,0 0 0,1 0 0,-1 1 0,1-1 0,-1 0 0,1 0 0,-1 0 0,1 0 0,-1 0 0,1 0 0,0 0 0,0 0 0,-1 1 0,2-2 0,275-374 0,-224 301 0,-67 107 0,-23 41 0,-4 5 0,20-30 0,-45 105 0,58-129 0,1-1 0,1 1 0,1 0 0,-3 37 0,8-58 0,-1 0 0,1-1 0,0 0 0,0 0 0,0 1 0,1 0 0,-1-1 0,1 1 0,-1-2 0,1 2 0,0-1 0,0 1 0,0-1 0,0 0 0,0 0 0,1 0 0,-1 0 0,1 0 0,-1 1 0,1-2 0,0 0 0,0 1 0,0 0 0,0 0 0,0-1 0,0 1 0,0-1 0,1 0 0,-1 0 0,1-1 0,-1 1 0,0 0 0,1 0 0,0 0 0,-1-1 0,1 1 0,-1-1 0,4 0 0,11 0 0,0-1 0,0 0 0,0-2 0,-1 1 0,18-6 0,2 1 0,92-7-1365,-94 12-5461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2T06:58:09.6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24575,'1'42'0,"4"0"0,1 0 0,25 76 0,64 117 0,-83-207 0,302 579 0,-45-98 0,353 974 0,-480-1104 0,105 329 0,214 647 0,-414-1251 0,5-1 0,83 116 0,34 64 0,-148-236 0,-4 1 0,14 60 0,12 35 0,156 346 0,-169-418 0,40 151 0,0 2 0,-27-126 0,116 290 0,-25-78 0,-25-64 0,-74-152 0,-12-31 0,44 81 0,-65-140 0,-1 0 0,3 0 0,-2 0 0,0-1 0,2 1 0,-1 0 0,1-1 0,-1 1 0,1-1 0,0 0 0,1 0 0,-1 0 0,6 2 0,-8-4 0,1-1 0,-1 1 0,0-1 0,1 0 0,-1 1 0,2-1 0,-2 0 0,0 0 0,1 0 0,-1-1 0,0 1 0,1 0 0,-1-1 0,0 0 0,0 1 0,1-1 0,-1 1 0,0-1 0,1 0 0,-1 0 0,-1 0 0,2 0 0,-1-1 0,-1 1 0,1-1 0,0 1 0,0 0 0,-1-1 0,0 1 0,0-1 0,3-3 0,6-7 0,-1-1 0,-1 0 0,0 0 0,-2-1 0,1 1 0,-3-1 0,6-21 0,-5 15 0,2 0 0,19-36 0,-17 39 0,-6 11 0,0 1 0,-1-1 0,2 1 0,-1-1 0,1 1 0,1 0 0,-2 0 0,2 0 0,1 0 0,-2 1 0,2 0 0,-1 0 0,11-6 0,-15 9 0,1 1 0,0 0 0,-1 0 0,0 0 0,0 0 0,0 0 0,0 0 0,2 0 0,-2 0 0,0 0 0,0 1 0,0-1 0,1 0 0,-1 1 0,0-1 0,0 1 0,0-1 0,0 1 0,1 0 0,-1-1 0,0 1 0,0 0 0,0 0 0,-1 0 0,1-1 0,1 1 0,-1 0 0,-1-1 0,1 1 0,-1 0 0,1 0 0,-1 0 0,1 0 0,-1 1 0,0-1 0,1 0 0,-1 0 0,0 0 0,0-1 0,0 4 0,10 46 0,-10-48 0,1 7 0,-1-1 0,0 0 0,0 0 0,-1 1 0,0-1 0,-2 0 0,1-1 0,0 2 0,-2-1 0,1-1 0,-2 1 0,0 0 0,1-1 0,-10 10 0,8-11 0,0-1 0,-1 0 0,0 1 0,0-2 0,0 1 0,-1-2 0,0 1 0,0 0 0,-1-1 0,1 1 0,-1-1 0,1-1 0,-1 0 0,-1 0 0,1-1 0,-14 2 0,3-2-76,1 0 1,-1-2-1,1 0 0,0-1 0,-1-1 0,2 0 0,-1 0 0,0-2 1,1 1-1,0-3 0,0 2 0,1-3 0,0 1 0,1-1 1,-1 0-1,2-2 0,-17-11 0,6 2-6750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2T06:58:13.0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 24575,'-2'398'0,"5"431"0,49-340-1,40-3 9,3 16-132,134 668-463,-56-402 587,-13-211 150,37-5 150,63 202-46,-90-296-254,-44-131 0,178 459 0,-282-741 0,4 0 0,1-1 0,3-1 0,72 78 0,175 139 0,-252-238 0,1-1 0,2-1 0,-1-1 0,3 0 0,0-3 0,2 0 0,-1-1 0,1-1 0,37 10 0,-28-17 0,0-1 0,1-1 0,1-2 0,-1-1 0,0-2 0,46-6 0,20 3 0,-71 2 0,-5 0 0,0 1 0,33 2 0,-59-2 0,0 1 0,-1 0 0,1 0 0,0 0 0,-2 0 0,2 1 0,0-1 0,0 1 0,-2 0 0,2 0 0,-2 1 0,1-1 0,0 0 0,-1 1 0,1 1 0,-1-1 0,7 7 0,-9-8 0,-1 1 0,0 1 0,0-1 0,0-1 0,1 2 0,-1-1 0,-1 0 0,1 0 0,-1 1 0,0-1 0,0 0 0,-1 0 0,1 1 0,-1-2 0,-1 1 0,2 1 0,-1-1 0,-1-1 0,1 2 0,0-1 0,-2 0 0,1-1 0,0 1 0,0 0 0,-4 2 0,-3 5 0,0 0 0,-2-2 0,1 1 0,-1-1 0,-17 10 0,17-12 0,-51 26 0,59-30 0,-1 0 0,0-1 0,0 1 0,0-2 0,0 1 0,0 0 0,-1 0 0,2-1 0,-2 1 0,1-1 0,-1 0 0,2 0 0,-10 0 0,12-1 0,-1 0 0,0 1 0,1-1 0,0 0 0,-1 1 0,1-1 0,0 0 0,-1 0 0,1 0 0,0 0 0,0 0 0,0 0 0,0 0 0,0 0 0,1-1 0,-2 2 0,1-1 0,1-1 0,-1 1 0,1 0 0,-1-1 0,1 1 0,0-1 0,0 1 0,0 0 0,-1 0 0,1-1 0,0 1 0,1-1 0,-1 1 0,1-2 0,11-47 0,-11 47 0,40-87 0,-32 71 0,1 2 0,-2-2 0,-1 0 0,-1 1 0,0-1 0,-2-1 0,-2 1 0,2-27 0,-5 42 7,1-1-1,-1 1 0,-1-1 0,0 1 1,1 0-1,-1 0 0,-1 0 1,1 0-1,0 0 0,-2 0 1,2 0-1,-1 0 0,-1 2 0,0-2 1,0 0-1,1 1 0,-2 1 1,-6-6-1,-4 1-303,0 0 0,0 0 0,-1 1 0,-26-7 0,0 1-6529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2T06:58:19.9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1 24575,'-5'5'0,"2"-1"0,-2 2 0,1-2 0,2 2 0,-1-1 0,0 1 0,1-1 0,0 1 0,0-1 0,1 1 0,0-1 0,0 2 0,1-2 0,0 10 0,-1 4 0,-3 20 0,2 1 0,3-2 0,1 1 0,3 0 0,2 0 0,2 0 0,3-2 0,1 1 0,3-1 0,2 0 0,0-2 0,43 55 0,-17-31 0,5-1 0,3-2 0,3-1 0,2-3 0,3-1 0,3-4 0,3-1 0,2-2 0,103 49 0,-29-26 0,4-5 0,307 91 0,345 28 0,94-54-361,10-44-60,-280-27 515,2101 264-94,-853-87-223,-216-5-964,-239-28 1177,-1083-162-248,326 47 15,-514-60 556,-2 5 1,214 69-1,796 286 1356,-101-10-1669,-763-234 0,-99-43 0,562 245 0,-605-281 0,-79-35 0,-2 2 0,92 54 0,112 60 0,-185-103 0,148 94 0,-214-120 0,-2 1 0,0 0 0,26 32 0,-24-27 0,37 35 0,216 165 0,-246-198 0,-2 0 0,-1 1 0,-2 0 0,0 0 0,-1 2 0,16 33 0,-13-19 0,1-1 0,49 56 0,52 77 0,-101-137 0,-13-17 0,-1-1 0,-1 1 0,5 18 0,-8-20 0,-1-2 0,3 1 0,-1-1 0,2 1 0,16 20 0,22 24 0,-2 1 0,47 92 0,-73-112 0,18 61 0,-9-24 0,-13-34 0,-3 0 0,6 68 0,-5-31 0,9 108 0,-15 278 0,-10-244 0,4 380 0,-1-571 0,-3 0 0,-12 43 0,9-47 0,1 2 0,2 0 0,0 28 0,4-54 0,0 0 0,0 1 0,0-1 0,0 1 0,1-2 0,-1 2 0,1-1 0,1 1 0,-2-1 0,1 0 0,0 0 0,1 0 0,-1 0 0,1 0 0,0 1 0,-1-2 0,1 1 0,3 2 0,-3-3 0,0-1 0,0 1 0,-1-1 0,1 1 0,0-1 0,0 1 0,-1-1 0,1 0 0,1 0 0,-2 0 0,1 0 0,1 0 0,-2 0 0,1 0 0,-1-1 0,2 1 0,-1-1 0,-1 1 0,1-1 0,0 1 0,0-1 0,-1 0 0,0 0 0,2 0 0,-2 0 0,0 0 0,0 0 0,1 0 0,1-1 0,24-19 0,-3-1 0,-1 0 0,0-1 0,-2-1 0,21-32 0,10-10 0,-34 46 0,3-7 0,1 2 0,43-38 0,-65 64 0,0 0 0,0-1 0,0 1 0,0-1 0,0 1 0,0-1 0,0 1 0,0-1 0,0 1 0,0-1 0,0 0 0,0 0 0,0 1 0,0-1 0,0 1 0,1-1 0,-1 1 0,0-1 0,0 1 0,1-1 0,-1 1 0,0-1 0,0 1 0,2-1 0,-2 0 0,1 1 0,-1-1 0,0 1 0,1-1 0,-1 0 0,1 0 0,-1 1 0,1-1 0,-1 0 0,1 0 0,-1 1 0,2-1 0,-2 0 0,1 0 0,-1 0 0,1 0 0,-1 0 0,1 0 0,-1 0 0,1 0 0,-1 0 0,1 0 0,1 0 0,-2 0 0,1 0 0,-1-1 0,1 1 0,-1 0 0,1 0 0,-1 0 0,1-1 0,-1 1 0,0 0 0,1-1 0,-1 1 0,2 0 0,-2-1 0,0 1 0,1-1 0,-1 1 0,0 0 0,1-1 0,-1 1 0,0-1 0,-5 40 0,-5-19 0,-2-1 0,0 1 0,-2-2 0,-1 0 0,0 1 0,-1-3 0,-2 1 0,0-1 0,-27 18 0,11-11 0,-1-1 0,-1-1 0,-1-2 0,-79 30 0,101-44 0,0 1 0,0-2 0,-1 0 0,-1 0 0,1-1 0,0-2 0,-1 1 0,-21 0 0,30-2 0,-2-1 0,2 0 0,0 0 0,-1-1 0,1 2 0,-1-3 0,1 1 0,0-1 0,0 0 0,1 1 0,-1-2 0,1 0 0,0 1 0,0-1 0,0-1 0,1 1 0,-10-10 0,-32-37 0,2 0 0,-47-73 0,27 33 0,32 47-1365,5 8-5461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2T07:13:47.88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48917 0 24475,'-48917'2265'0,"49177"-2178"0,-520-174 0,505-23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2T07:14:31.8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10481 0 24575,'-4'0'0,"2"1"0,0-1 0,-1 0 0,1 1 0,0 0 0,-2-1 0,2 1 0,0 0 0,-1-1 0,1 1 0,1 0 0,-6 3 0,-11 5 0,-97 33 0,-161 41 0,-128 11 0,357-84 0,-643 115 0,507-103 0,-336 4 0,-1657-33 0,1905 8 0,-315-3 0,204-31 0,151 9 0,-108-12 0,157 14 0,-185-3 0,272 25 0,59 2 0,0-2 0,1-1 0,0-2 0,-1 0 0,1-1 0,-66-17 0,52 8 0,-97-14 0,6 2 0,-29-8 0,-78-21 0,219 47 0,-1 1 0,0 1 0,-1 1 0,-52-2 0,-128 8 0,87 2 0,-1274-4 0,1384 0 0,2 0 0,-1 1 0,1-1 0,-1 1 0,1 1 0,-1 1 0,1 0 0,-1-1 0,2 2 0,-2 0 0,2-1 0,-19 11 0,22-8 0,-1-1 0,1 1 0,0 0 0,0 0 0,0 0 0,1 1 0,1 0 0,0 0 0,0 0 0,1 1 0,-1-1 0,2 1 0,-1 0 0,-3 14 0,6-15 0,0-2 0,0 1 0,0 0 0,1 0 0,0 0 0,0 0 0,1-1 0,-1 2 0,1-2 0,1 1 0,4 10 0,0-6 0,0-1 0,1 0 0,-1 0 0,3-1 0,12 13 0,-21-21 0,0 1 0,2-1 0,-2 0 0,0 0 0,1 1 0,-1-1 0,0 0 0,0 1 0,0-1 0,1 0 0,-1 0 0,0 1 0,0-1 0,0 0 0,0 1 0,0-1 0,0 1 0,1-1 0,-1 0 0,0 0 0,0 0 0,0 0 0,0 1 0,0-1 0,0 0 0,-1 1 0,1-1 0,0 0 0,0 1 0,0-1 0,0 1 0,0-1 0,0 0 0,-1 0 0,1 1 0,0 0 0,-19 4 0,-31-5 0,43 0 0,-41 0 0,26 1 0,-1-1 0,0-1 0,0 0 0,1-2 0,-30-5 0,48 7 0,-2-1 0,1 0 0,1 0 0,-2 0 0,1 1 0,1-2 0,-1 0 0,1 1 0,0-1 0,0 0 0,0 0 0,-1-1 0,2 2 0,0-2 0,0 0 0,0 1 0,0-1 0,0 0 0,1 0 0,1 0 0,-2 0 0,1 0 0,1-1 0,0 1 0,-1 0 0,1-10 0,-1-24 0,3-1 0,7-46 0,-3 267 0,-4-177 0,0 1 0,0-2 0,2 2 0,-1-2 0,0 2 0,1-2 0,0 1 0,-1-1 0,2 1 0,-1 0 0,2-1 0,-2 0 0,2 0 0,0 0 0,-1 0 0,2-1 0,-1 0 0,0 1 0,1-1 0,-1-1 0,0 1 0,10 2 0,13 5 0,1-1 0,0-2 0,45 8 0,-72-14 0,82 7 0,-69-7 0,1 0 0,0 1 0,-1 0 0,2 1 0,25 7 0,-42-10 0,0 0 0,0 0 0,1 0 0,-1 0 0,0 0 0,0 0 0,2 0 0,-2 0 0,0 0 0,0 0 0,0 0 0,1 1 0,-1-1 0,0 0 0,0 0 0,0 0 0,1 0 0,-1 0 0,0 0 0,0 1 0,0-1 0,0 0 0,1 0 0,-1 0 0,0 0 0,0 1 0,0-1 0,0 0 0,0 0 0,0 0 0,0 1 0,1-1 0,-1 0 0,0 0 0,0 0 0,0 1 0,0-1 0,0 0 0,0 0 0,0 1 0,0-1 0,0 0 0,0 0 0,0 0 0,0 1 0,-1-1 0,1 0 0,0 0 0,0 1 0,0-1 0,0 0 0,0 0 0,0 0 0,-20 6 0,-25-1 0,26-5 0,-2 1 0,1-2 0,1 1 0,-1-1 0,1-2 0,-1 0 0,-30-8 0,45 9 0,-1 0 0,0 0 0,0 0 0,2-1 0,-2 0 0,1 1 0,1-1 0,-1-1 0,0 1 0,1-1 0,-1 0 0,2 1 0,-1-1 0,1 0 0,-1 0 0,2-1 0,-1 1 0,0 0 0,1-1 0,0 0 0,1 0 0,-2 1 0,2-1 0,0 0 0,1 0 0,0 0 0,-1 0 0,2-7 0,2-14 0,2 1 0,1 0 0,2-1 0,16-34 0,-10 26 0,12-52 0,-24 80 0,2-20 0,-1 19 0,-1 12 0,-6 155 0,6 62 0,-1-218 0,0-1 0,-1 1 0,1 0 0,0-1 0,1 1 0,0 0 0,0-2 0,0 2 0,1 0 0,-1-2 0,0 2 0,2-1 0,-2 0 0,1-1 0,1 1 0,3 3 0,1-2 0,0 1 0,0-1 0,1 1 0,-1-1 0,1-2 0,16 7 0,45 4 0,-46-11 0,-69-8 0,0-3 0,0 0 0,0-2 0,-57-22 0,97 32 0,0 0 0,2-1 0,-2 1 0,2-1 0,-1 0 0,1 0 0,0 0 0,-1 0 0,1-1 0,-1 0 0,1 1 0,0 0 0,1-1 0,-1-1 0,0 1 0,1 1 0,1-2 0,-4-3 0,4 1 0,0 1 0,1 0 0,0 0 0,0-1 0,1 2 0,-1-2 0,1 2 0,0-2 0,2 1 0,-2 0 0,1 0 0,4-5 0,12-27 0,-1-2 0,-4 1 0,-1-2 0,-2 1 0,4-55 0,-16 434 0,3-332 0,0-1 0,0 1 0,2 0 0,-1-1 0,0 0 0,9 13 0,-11-19 0,1 0 0,0 1 0,-1-1 0,1 0 0,0 0 0,0 0 0,1 0 0,-2 0 0,1 0 0,0-1 0,0 0 0,0 1 0,0 0 0,2-1 0,-2 1 0,0 0 0,0-1 0,0 1 0,2-1 0,-1 1 0,0-1 0,0-1 0,0 1 0,0 0 0,0-1 0,-1 1 0,2-1 0,-1 0 0,-1 1 0,1-1 0,0 0 0,0 1 0,-1-1 0,0 0 0,2 0 0,-2 0 0,0 0 0,0-1 0,1 1 0,1-2 0,99-106 0,14-12 0,-85 93-1365,-5 3-5461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2T07:15:48.90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20281 0 24396,'-20280'4393'0,"20553"-4348"0,-546-90 0,482-105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2T07:16:02.97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27739 745 24575,'-3'36'0,"0"-1"0,-3 1 0,-24 63 0,-59 101 0,53-126 0,-44 101 0,-63 127 0,89-204 0,-74 98 0,27-73 0,-7-5 0,-168 142 0,192-188 0,-4-2 0,-5-3 0,-4-4 0,-3-3 0,-153 71 0,59-43 0,-5-6 0,-377 112 0,-63-39 0,436-109 0,-358 70 0,385-81 0,-208 35 0,-252 58 0,278-55 0,30-7 0,53-11 0,109-23 0,-456 81 0,-54 10 0,-688 155 0,987-188 0,-52 9 0,-143 13 0,516-98 0,-1 0 0,-61 25 0,-20 5 0,5-10 0,-1-5 0,-232 29 0,-285-7 0,614-49 0,0-2 0,0 0 0,0-2 0,0-1 0,0-1 0,0 0 0,2-3 0,-1-1 0,0 0 0,1-2 0,2 0 0,0-2 0,1 0 0,-1-3 0,-32-17 0,10 1 0,-2 3 0,-2 1 0,0 2 0,-112-33 0,-11 12 0,-317-48 0,399 77 0,-978-125-3,678 94-118,-1390-221-464,1671 250 550,-228-47 407,-390-113 0,45 7-372,332 85 0,-272-49 0,39 10 0,-778-244 0,1270 338 0,-23-4 0,2-5 0,-135-61 0,176 58 0,2-3 0,5-1 0,-89-74 0,53 39 0,-25-16 0,-7-1 0,8-5 0,-120-119 0,182 152 0,-5 4 0,-176-123 0,60 56 0,82 54 0,-177-96 0,200 135 0,-162-58 0,-21-8 0,196 78 0,0 2 0,-149-39 0,96 32 0,-76-29 0,85 24 0,-156-33 0,249 66 0,-1 0 0,2 0 0,0-2 0,1 1 0,1-3 0,0 1 0,-26-16 0,-9-12 0,-64-50 0,106 75 0,-18-11 0,-75-39 0,27 18 0,43 23 0,29 18 0,2 0 0,0-1 0,-1 0 0,1-1 0,0 1 0,0-1 0,1 0 0,-11-13 0,3-3 0,2 0 0,-11-25 0,-14-24 0,33 65 0,-1-1 0,0 1 0,0 1 0,0-1 0,-1 1 0,0-1 0,0 2 0,0-1 0,-2 1 0,1-1 0,-1 1 0,-14-5 0,-6-1 0,0 2 0,-53-11 0,79 18 0,0 0 0,1 1 0,-1-1 0,0 1 0,0-1 0,0 1 0,0 0 0,1 0 0,-1 0 0,0 0 0,0 0 0,0 0 0,1 1 0,-2-1 0,2 1 0,-1-1 0,0 1 0,0 0 0,1 0 0,0 0 0,-1-1 0,1 1 0,0 0 0,-1 1 0,1-1 0,-1 0 0,1 1 0,1 0 0,-2-1 0,2 1 0,-1 0 0,1-1 0,-1 1 0,1 0 0,0 0 0,0-1 0,0 1 0,0 0 0,1 0 0,-2 0 0,1 3 0,-1 10 0,-1 0 0,2 1 0,0-2 0,5 27 0,-3-21 0,4 17 0,0-2 0,5 1 0,1 0 0,23 46 0,-19-62 0,-15-20 0,1 0 0,-1 0 0,1-1 0,-1 1 0,0 0 0,1 0 0,-1 0 0,0 0 0,0-1 0,1 1 0,-1 0 0,0 0 0,0-1 0,2 1 0,-2 0 0,0 0 0,0-1 0,1 1 0,-1 0 0,0-1 0,0 1 0,0 0 0,0-1 0,0 1 0,0 0 0,0-1 0,0 1 0,0 0 0,0-1 0,0 1 0,0 0 0,0-1 0,0 1 0,-1-45 0,-11-5 0,2 17 0,2 2 0,3-2 0,0 1 0,4-2 0,5-41 0,-3 71 0,0 0 0,0 0 0,0 0 0,2 1 0,-2-1 0,1 0 0,1 0 0,0 1 0,0-1 0,0 2 0,0-2 0,0 1 0,1 0 0,1 0 0,-2 0 0,9-3 0,-4 2 0,1 0 0,-1 0 0,2 1 0,-1 0 0,0 1 0,0 1 0,1-1 0,18-2 0,-5 2 0,-2 1 0,2 0 0,0 2 0,-1 0 0,0 1 0,0 0 0,39 9 0,-48-9 20,-1 2 0,0-1 0,0 2 0,0-2 0,13 8 0,-21-9-98,-1 0 0,1 1 0,-2-1-1,2-1 1,-2 2 0,2-1 0,-2 1 0,1 0 0,-1 0-1,0 0 1,1 0 0,-2-1 0,1 1 0,-1 0 0,1 0-1,-1 0 1,0 1 0,0 3 0,-1 17-6748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2T07:16:05.12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525 3570 24097,'-525'-3570'0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2T07:16:46.03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43236 4420 24575,'-81'-126'0,"-124"-148"0,152 214 0,-3 1 0,-4 3 0,-3 2 0,-91-61 0,-18 6 0,-8 8 0,-4 5 0,-286-110 0,-636-173 0,-651-66 0,921 305-706,-6 31-256,143 21 192,-613-95-1197,-620-82 1801,-4 36-36,1565 191 31,-1015-112-548,13-46 342,277 14 794,-247-43 693,182 27 3299,1028 175-4357,-251-17 0,-220-15-52,-59 10 0,-6 42 0,-212-6 0,128-39 0,452 15 0,-107-7 0,-694 10 0,979 28 0,-2065-6 0,1271 10 0,-3626-2 0,4224 19 0,150-6 0,-258 42 0,182-18 0,187-28 0,1 1 0,1 3 0,-66 22 0,-149 66 0,183-66 0,-18 3 0,-202 50 0,-122 0 0,350-73 0,-108 21 0,-1-9 0,-1-5 0,-314 5 0,-2743-34 0,2657 31 0,496-14 0,1 3 0,1 4 0,1 2 0,-112 38 0,-327 150 0,20 27 0,430-196 0,0 1 0,1 3 0,3 2 0,-112 86 0,164-107 0,1 1 0,1 2 0,1-1 0,2 1 0,1 2 0,-25 52 0,20-36 0,7-13 0,2-3 0,-3-2 0,-31 42 0,-201 245 0,234-290 0,0 0 0,2 0 0,1 1 0,2 0 0,-8 31 0,-8 73 0,24-105 0,-1 1 0,-1 0 0,-2-1 0,-1 0 0,-2 0 0,0-1 0,-2 1 0,-14 20 0,-12 13 0,36-53 0,0 0 0,0 0 0,0 0 0,0 1 0,-1-2 0,2 1 0,-1 1 0,1-1 0,0 0 0,0 0 0,1 0 0,-1 0 0,2 0 0,-2 1 0,1-1 0,2 5 0,-2-7 0,1 0 0,-1 0 0,0 0 0,0 0 0,-1-1 0,1 1 0,2 0 0,-2 0 0,0-1 0,0 1 0,0 0 0,0-1 0,2 1 0,-2-1 0,0 1 0,0-1 0,2 1 0,-2-1 0,0 0 0,1 0 0,-1 0 0,1 0 0,0 0 0,-1 0 0,0 0 0,2 0 0,-2-1 0,0 1 0,0 0 0,1-1 0,0 1 0,-1-1 0,0 1 0,1-1 0,-1 0 0,1 1 0,-1-1 0,0 0 0,1 0 0,53-34 0,-55 35 0,121-86 0,-121 86 0,1 0 0,-1-1 0,2 1 0,-2 0 0,1-1 0,-1 1 0,1-1 0,-1 1 0,1-1 0,-1 1 0,0-1 0,1 1 0,-1-1 0,0 1 0,0 0 0,1-1 0,-1 1 0,0-1 0,0 1 0,0-1 0,0 0 0,0 1 0,0-1 0,0 1 0,0-1 0,0 0 0,0 1 0,0-1 0,0 1 0,0-1 0,0 0 0,-21-6 0,-33 5 0,34 5 51,0 1-1,1-1 1,1 2-1,-28 10 1,24-9-64,1 0 1,-2 1-1,-40 4 1,57-10-63,0-1 0,1 1 1,0-1-1,0 0 0,-1-1 1,0 1-1,2-1 0,-2 0 1,1 0-1,-1 0 0,2-1 1,-1 0-1,-1 1 1,1-1-1,1 0 0,-1 0 1,0-1-1,2 1 0,-2-1 1,-6-5-1,-8-12-6751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2T07:16:55.32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19618 0 24575,'-7'10'0,"-1"-1"0,0 0 0,0-1 0,-1 1 0,-1-1 0,-15 10 0,-7 7 0,-456 323 0,370-270 0,-1336 848-1958,1395-888 1749,-1157 669-55,802-497 214,-472 179 0,-514 114-538,-47-103 355,50-134-1171,-21-98 1507,252-124-243,15-53 125,1109 8 16,-1785-116-1,650-63 1081,1027 145-527,-188-68-1,-128-74 1864,344 119-2355,4-4 0,-182-122 0,219 131-46,36 24-16,-74-45 0,4-5 0,-151-134 0,-111-141 0,333 305 0,3-1 0,2-2 0,-61-106 0,59 87 0,-81-102 0,79 118 0,4 0 0,2-1 0,-36-81 0,-61-190 0,85 226 0,32 70 0,-19-49 0,-25-51 0,45 101 0,2 0 0,0 0 0,3-1 0,-13-61 0,18 60 0,-2 1 0,-2 0 0,-17-36 0,-3-11 0,30 78 0,0-1 0,0 1 0,0-1 0,0 1 0,0-1 0,0 1 0,-1-1 0,1 0 0,0 1 0,0-1 0,0 1 0,-1-1 0,1 1 0,0-1 0,-1 1 0,1-1 0,0 1 0,-1 0 0,1-1 0,-1 1 0,1-1 0,-2 1 0,2 0 0,-1-1 0,1 1 0,-1 0 0,1 0 0,-1-1 0,-12 13 0,-10 36 0,18-32 0,-55 89 0,52-94 0,-1 2 0,-1-2 0,0 0 0,0 0 0,-1 0 0,-16 11 0,26-21 0,0 0 0,1 0 0,-2-1 0,1 1 0,0 0 0,0-1 0,0 1 0,0 0 0,-2 0 0,2-1 0,0 1 0,0-1 0,0 1 0,-2-1 0,2 1 0,0-1 0,-1 0 0,1 1 0,0-1 0,-2 0 0,2 0 0,0 0 0,-1 0 0,0 0 0,1-1 0,0 1 0,-1 0 0,1 0 0,0-1 0,-2 1 0,2-1 0,0 1 0,0-1 0,0 0 0,0 0 0,-2 1 0,2-1 0,0 0 0,0 0 0,0 1 0,1-1 0,-1 0 0,-1 0 0,1 0 0,0 0 0,1 0 0,-1-1 0,1 1 0,-1 0 0,1 0 0,-1-1 0,1 1 0,0 0 0,0-1 0,-2 1 0,2-2 0,-3-10 0,1 0 0,-1-2 0,1-24 0,2 37 0,-1-34 0,0 19 0,0-1 0,1 0 0,1 1 0,1 0 0,0 0 0,10-27 0,-11 41 0,1 1 0,0-1 0,0 1 0,0-1 0,0 1 0,1 0 0,-1 1 0,0-1 0,1 0 0,-1 1 0,1-1 0,0 0 0,0 1 0,-1 0 0,2-1 0,-2 1 0,2 0 0,-1 0 0,0 1 0,1-1 0,-2 0 0,2 1 0,-1 0 0,1 0 0,-1 0 0,0 0 0,1 0 0,-1 1 0,0-1 0,0 1 0,4 0 0,11 3 0,1 0 0,-2 1 0,1 0 0,19 8 0,132 68 0,-167-81 0,0 1 0,-1-1 0,1 1 0,-1-1 0,0 1 0,0 0 0,1-1 0,0 1 0,-1 0 0,0 0 0,0 0 0,1 0 0,-1 0 0,-1 0 0,1 0 0,0 0 0,0 0 0,1 2 0,-3-2 0,1-1 0,-1 1 0,1-1 0,-1 1 0,1-1 0,-1 1 0,1-1 0,-1 1 0,1-1 0,-1 1 0,1-1 0,-2 0 0,1 1 0,1-1 0,-1 0 0,0 0 0,1 1 0,-1-1 0,0 0 0,1 0 0,-2 0 0,1 0 0,0 0 0,0 0 0,-66 1 0,42-5 0,0 0 0,1-1 0,-48-17 0,47 15 0,-1-1 0,0 1 0,-28-2 0,51 8-36,-1 1 0,1 0 0,1 0 1,-2 0-1,1 0 0,-1 0 0,1 0 0,0 1 0,0-1 0,0 1 0,-1 0 0,1 0 0,1 0 0,-2 0 0,2 0 0,-2 1 0,2-1 1,-1 0-1,0 1 0,1 0 0,0-1 0,-1 1 0,1 1 0,0-1 0,0 0 0,0 0 0,0 1 0,1-1 0,-1 0 0,0 0 0,1 1 1,0 0-1,0-1 0,0 1 0,1 0 0,-1 0 0,0 3 0,-4 21-6790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2T07:17:02.45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1422 2 24575,'-56'-1'0,"5"1"0,2 0 0,-2 2 0,-65 8 0,102-8 0,-1 0 0,1 1 0,0 0 0,0 1 0,2-1 0,-2 1 0,2 1 0,0 0 0,0 0 0,-1 1 0,3 0 0,-1 1 0,0-1 0,0 1 0,2 0 0,-8 8 0,-10 14 0,2 0 0,2 0 0,2 2 0,-19 42 0,-45 136 0,69-163 0,-15 41 0,5 2 0,7 1 0,-2 135 0,26-73 0,-9 212 0,3-356 0,-2-1 0,1 1 0,-1 0 0,-1 0 0,-1 0 0,0-1 0,1 0 0,-2 0 0,0 0 0,-1-1 0,0 1 0,-1-1 0,0 1 0,1-1 0,-2-1 0,-1 1 0,1-2 0,-2 1 0,2 0 0,-1-1 0,-23 7 0,9-3 0,-1-1 0,-1-1 0,0 0 0,0-3 0,0 1 0,0 0 0,-2-2 0,2 0 0,-34-1 0,56-1 0,-1 0 0,1 0 0,-1-1 0,0 1 0,1-1 0,-1 1 0,1-1 0,-1 0 0,0 0 0,2 0 0,-1-1 0,-1 1 0,2-1 0,-8-2 0,10 3 0,-1 0 0,-1 0 0,2 0 0,-1-1 0,1 1 0,1-1 0,-2 1 0,1-1 0,-1 0 0,2 1 0,-1-1 0,1 0 0,-2 1 0,2-1 0,0 0 0,0 0 0,0 1 0,0-5 0,2 2 0,-2 0 0,3 0 0,-2 0 0,1 0 0,1 1 0,0-1 0,0 0 0,0 0 0,0 1 0,0-1 0,2 1 0,-1 0 0,1 0 0,-1 0 0,1 0 0,0 0 0,-1 0 0,2 1 0,7-3 0,0 1 0,1 0 0,0 0 0,0 0 0,1 1 0,-1 0 0,1 1 0,1 0 0,-1 1 0,0-1 0,1 2 0,-1 0 0,28 2 0,-32-2 0,-2 2 0,2-1 0,-2 1 0,2 0 0,-2 0 0,0 1 0,0 0 0,0 0 0,1 0 0,-3 0 0,2 1 0,-1 0 0,0 0 0,-1 0 0,1 1 0,-2 0 0,2 0 0,-2 1 0,-1-1 0,8 8 0,1 6 0,-2 1 0,-1-1 0,-2 1 0,1 0 0,-3 0 0,4 29 0,-2 128 0,-3-16 0,-3-137 0,2-2 0,3 2 0,-1-2 0,24 41 0,-14-37-112,-3-1 174,3 1-1,1-2 0,23 24 1,-36-43-130,0-1 0,-1 1-1,1-1 1,1 0 0,-1 0 0,1 0 0,0 0 0,0 0 0,2-2 0,-2 1-1,1 0 1,1 0 0,-2 0 0,2-1 0,0 0 0,1 0 0,-2 0 0,1-1-1,0 0 1,1 0 0,11 1 0,15-5-6758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2T07:17:22.38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40186 4132 24575,'-15'2'0,"0"1"0,-1 0 0,1 0 0,1 0 0,0 2 0,-1 0 0,-20 11 0,-26 7 0,16-12 0,1-1 0,-1-1 0,-1-2 0,-59 2 0,-189-3 0,194-7 0,-2870 0-1545,1073-1-876,-77-52 2109,1100 21-68,-4174-87-2017,4365 110 2276,-850-25 124,143-58-3,893 38 0,-412-40 0,-3126-169 0,2669 174 0,1023 65 0,-1259-143 103,865 80 231,-622-80 3823,91 11-1578,1041 131-2579,-739-104 0,-382-77 0,680 137 0,-310-38 0,583 56 0,-717-112 0,-277-79 0,1317 232 0,10 1 0,0-1 0,-89-27 0,36-7 0,-110-54 0,126 51 0,-180-61 0,238 96 0,-95-27 0,2-6 0,-220-102 0,-220-117 0,274 135 0,66-5 0,33 17 0,142 85 0,-78-57 0,35 19 0,81 55 0,0 0 0,1 0 0,-28-35 0,-8-5 0,34 28 0,20 25 0,-1-1 0,1 0 0,0 2 0,-1-2 0,1 1 0,-1 0 0,-1 0 0,2 0 0,-2 0 0,1 1 0,-2-1 0,-5-3 0,9 6 0,1 0 0,-2 0 0,1 0 0,1 0 0,-1 0 0,1 0 0,-1 0 0,0 0 0,1 1 0,-1-1 0,1 0 0,-2 0 0,2 0 0,-1 1 0,1-1 0,-1 0 0,1 0 0,-1 0 0,1 0 0,-1 1 0,1-1 0,-1 0 0,1 1 0,0-1 0,-2 1 0,2-1 0,0 1 0,-1-1 0,1 1 0,0-1 0,0 1 0,-1-1 0,1 1 0,0-1 0,0 2 0,-8 24 0,7-20 0,-4 18 0,-21 66 0,24-83 0,0-1 0,-1 0 0,0-1 0,-1 1 0,1 0 0,-2-1 0,2 1 0,-2-1 0,1-1 0,-2 1 0,-8 7 0,14-12 0,-1 1 0,-1-1 0,2 1 0,-1-1 0,0 1 0,1-1 0,-1 0 0,0 1 0,0-1 0,-1 0 0,1 0 0,1 1 0,-1-1 0,0 0 0,0 0 0,0 0 0,-1 0 0,2 0 0,-1 0 0,0 0 0,0-1 0,0 1 0,0 0 0,-1 0 0,2-1 0,-1 1 0,0 0 0,0-1 0,1 1 0,-1-1 0,0 1 0,1-1 0,-2 1 0,1-1 0,1 1 0,-1-1 0,1 0 0,-1 1 0,1-1 0,-1 0 0,1 0 0,-1 1 0,1-1 0,0 0 0,-2 0 0,2 0 0,0 0 0,0 1 0,0-1 0,0-2 0,-10-43 0,6 20 0,2 1 0,1-2 0,1 1 0,2 0 0,1 1 0,8-29 0,-10 50 4,1 1 0,-1-1-1,1 1 1,-1 0-1,2 0 1,-1 0 0,0 0-1,1 0 1,0 0 0,-1 0-1,1 1 1,0-1 0,1 1-1,-1 0 1,1 0 0,-1 0-1,1 0 1,-1 1 0,1-1-1,0 1 1,0-1-1,1 1 1,-2 0 0,2 0-1,-2 0 1,10 0 0,4 1-158,2 0 1,-1 1-1,-1 1 1,0 0-1,20 5 1,-20-4-390,31 5-6283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2T07:17:27.49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412 1 24575,'-19'0'0,"3"-1"0,0 1 0,0 1 0,1 0 0,-1 1 0,-25 6 0,36-7 0,0 2 0,1-1 0,-1 0 0,0 1 0,1 0 0,-1 0 0,1 1 0,0-2 0,0 2 0,1 0 0,-1 0 0,1 0 0,-1 0 0,1 0 0,1 0 0,-1 1 0,1 0 0,-1 0 0,1-1 0,-2 9 0,-2 16 0,0 0 0,2 1 0,1 0 0,2-1 0,1 1 0,6 46 0,-1 22 0,-5-92 0,1 74 0,21 153 0,-10-151 0,-8-54 0,0 2 0,2-1 0,14 40 0,-8-36 0,-2 2 0,-2-1 0,-1 2 0,3 52 0,-7-17 0,-8 88 0,5-152 0,-1 1 0,0-1 0,0 0 0,-1 1 0,0-1 0,0 0 0,-1 0 0,0 0 0,0 0 0,-1 0 0,-6 9 0,6-12 0,0 1 0,0-1 0,-1-1 0,1 1 0,-1-1 0,0 0 0,0 0 0,0 0 0,0-1 0,-1 1 0,1-1 0,-1 0 0,1-1 0,-1 0 0,0 0 0,-7 0 0,-2 2 0,-1-2 0,0 0 0,-30-3 0,41 2 0,1-1 0,0 1 0,-1-1 0,1 0 0,0-1 0,0 2 0,0-2 0,0 1 0,0-1 0,0 0 0,1-1 0,-1 1 0,0-1 0,1 1 0,0-1 0,0 0 0,0 1 0,0-2 0,-3-3 0,6 6 0,-1 1 0,1-1 0,-1 0 0,1 0 0,0 1 0,-1-1 0,1 0 0,0 0 0,0 0 0,-1 0 0,1 1 0,0-1 0,0 1 0,0-1 0,0 0 0,0 0 0,0 0 0,0 1 0,1-1 0,-1 0 0,0 0 0,0 0 0,1 0 0,-1 1 0,0-1 0,1 0 0,-1 0 0,1 1 0,-1-1 0,1 0 0,-1 1 0,1-1 0,0 0 0,-1 1 0,1-1 0,0 1 0,-1-1 0,1 1 0,0-1 0,0 1 0,-1 0 0,1-1 0,0 1 0,0 0 0,0-1 0,-1 1 0,3 0 0,1-1 0,0 1 0,0-1 0,0 1 0,1-1 0,-1 1 0,0 0 0,0 0 0,7 2 0,-5-2 0,0 2 0,1 0 0,-1 0 0,0 1 0,-1 0 0,1 0 0,-1 0 0,1 1 0,-1-1 0,0 1 0,0 0 0,0 0 0,-1 1 0,0-1 0,0 1 0,0 0 0,0 0 0,-1 1 0,4 7 0,2 7 0,-2 1 0,0 0 0,-1 0 0,3 26 0,8 30 0,3-2 0,17 50 0,-32-110 0,1 0 0,1-1 0,1 0 0,0 0 0,1-1 0,10 13 0,-15-21-170,0-1-1,1 0 0,0 0 1,-1 0-1,1 0 0,1-1 1,8 5-1,10 2-6655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2T07:17:35.57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14876 6083 24507,'-14876'-6078'0,"15043"6262"0,-334-368 0,439 179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2T07:17:46.92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861 0 24575,'0'15'0,"1"91"0,-39 185 0,-25-124 0,-9 84 0,56-118 0,16 165 0,5-118 0,-5-116 0,-5 0 0,-27 90 0,13-88 0,6-18 0,-29 55 0,18-48 0,5 1 0,-12 89 0,28-128 0,-3 7 0,-6 0 0,1 0 0,-2-1 0,-1 0 0,-4 0 0,-27 28 0,4-1 0,26-33 0,1-2 0,-2 1 0,-32 25 0,43-37 0,0-1 0,0 1 0,-1-1 0,1 1 0,-1-2 0,-1 2 0,1-1 0,-1 0 0,1-1 0,-2 0 0,2 0 0,-2 0 0,0 0 0,1 0 0,-1-1 0,0 1 0,0-2 0,0 1 0,-14 0 0,17-2 0,0 0 0,2 1 0,-2-1 0,2 0 0,-2 0 0,2 0 0,-2-1 0,2 0 0,0 1 0,-1-1 0,1 0 0,0 1 0,0-1 0,-1 0 0,1 0 0,2 0 0,-3-1 0,3 2 0,-1-2 0,-1 1 0,1-1 0,1 1 0,1 0 0,-3-4 0,1 3 0,0-1 0,1 1 0,-1-1 0,1 1 0,-1 0 0,2-1 0,0 0 0,0 0 0,0 1 0,0 0 0,2-1 0,-2 0 0,1 1 0,1-1 0,-1 1 0,4-5 0,-3 7 0,-1 1 0,-1-1 0,2 1 0,0-1 0,-2 1 0,1 0 0,1-1 0,-1 1 0,-1 0 0,2-1 0,0 1 0,-1 0 0,1 0 0,-2 0 0,1 0 0,1-1 0,0 1 0,-1 0 0,-1 1 0,2-1 0,-1 0 0,1 0 0,0 0 0,-2 0 0,1 1 0,1-1 0,0 0 0,-2 1 0,1-1 0,1 0 0,-1 1 0,-1-1 0,2 1 0,0-1 0,-2 1 0,1 0 0,-1-1 0,2 1 0,-2 0 0,1-1 0,-1 1 0,0 0 0,2-1 0,0 1 0,34 31 0,-12-9 0,-3 0 0,0 1 0,-3 1 0,-2 0 0,-2 1 0,-1-1 0,-2 1 0,5 33 0,-11 319 0,-11-186 0,38 111 0,-2-7 0,-31 1352 0,2-1632 0,3 0 0,-1 1 0,2-1 0,1 1 0,20 26 0,63 75 0,-79-107 0,1 0 0,-1-1 0,3-1 0,0 0 0,-1 1 0,3-1 0,-1-1 0,1 0 0,26 11 0,6-2 0,3 0 0,60 13 0,-100-27 0,68 20 0,-4 2 0,0 2 0,125 61 0,-161-66-1365,-6-2-5461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2T07:17:50.65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40135 10634 24575,'-11'0'0,"-1257"-10"-716,-19-63-2122,512-14 1694,-190-34-1752,-177-20 1501,-116-15-1291,-102-11 1635,-2339-269-707,-1256-155-141,3619 424 1899,76 7 0,97 15 0,113 19 74,-488-48 259,-429-53 425,-925-105 2795,2743 315-3377,-1841-226 1600,24-101 846,1757 298-2622,-985-222 0,-78-77 0,730 161 1462,442 144-612,2-5 0,3-3 0,-102-67 0,-91-85-198,-316-287 0,-193-265 273,711 664-925,4-4 0,-98-149 0,39 38 0,-216-234 0,274 339 0,-118-180 0,-27-124 0,70 101 0,36 62 0,-81-194 0,86 171 0,12 32 0,70 131 0,18 48 0,-2 1 0,-37-65 0,25 56 0,-43-124 0,22 46 0,36 92 0,1 1 0,3-2 0,-9-85 0,21 129 0,0 0 0,-1 0 0,1 0 0,0-1 0,-1 1 0,1 0 0,-1-1 0,-1 1 0,1 0 0,0 1 0,0-1 0,0 0 0,0 0 0,-2 0 0,-1-3 0,4 5 0,-2-1 0,1 0 0,0 1 0,0-1 0,0 1 0,0 0 0,-1-1 0,0 1 0,1 0 0,0 0 0,0 0 0,-1 0 0,1 0 0,0 0 0,0 0 0,0 0 0,0 0 0,-2 0 0,2 0 0,0 0 0,0 1 0,-3 0 0,-2 2 0,1 0 0,-1 0 0,0 0 0,0 1 0,1-1 0,0 1 0,0 0 0,0 0 0,1 0 0,-6 7 0,-1 4 0,0 1 0,2 0 0,0 1 0,-8 21 0,11-23 0,1 0 0,-2-2 0,-2 1 0,1 0 0,-1-1 0,-1 0 0,-15 15 0,16-17 0,-1 1 0,2 1 0,0-1 0,-7 17 0,27-55 0,61-119 0,-60 122 0,1 0 0,2 1 0,0 1 0,26-24 0,-31 34 0,-1-1 0,0 1 0,7-16 0,17-18 0,-33 43 10,1 0-1,1 0 1,-1 0-1,0 0 1,1 0-1,-1 1 0,0-1 1,1 2-1,0-1 1,0-1-1,-1 1 1,1 0-1,0 0 1,0 0-1,1 1 1,-2-1-1,1 1 0,0-1 1,0 1-1,1 0 1,-2 0-1,2 0 1,-1 0-1,-1 1 1,2-1-1,-1 1 1,0 0-1,0-1 0,0 1 1,0 0-1,-1 1 1,1-1-1,3 1 1,12 7-193,1 0 0,-2 1 0,31 22 0,-22-15-772,19 14-5871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2T07:18:01.85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44919 1944 24575,'-3079'0'-5178,"2081"0"3766,-193-2-1789,-167-11 1855,-143-12-838,-97-5 1358,1461 27 805,-5440-89-1304,-17 43 435,-672 50 885,3320 2 46,327-42 124,24-110 243,10-139 301,1817 194-262,353 44 256,-1608-208 1240,885 57 756,-298-13 167,1091 180-2904,-238-36 2473,577 69-2377,-9-1 189,0-1 0,-1 1 0,1-2 0,0-1 0,1 1-1,-1-1 1,1-1 0,-16-9 0,30 15-223,-2 0 1,1 0-1,1 0 1,-1-1-1,1 1 1,-1-1-1,0 1 1,1-1-1,-1 0 1,1 1-1,-2-1 1,2 1-1,0-1 0,-1 0 1,1 1-1,0-1 1,-1 0-1,1 0 1,0 1-1,0-1 1,0 0-1,-1 0 1,1 1-1,15-5 553,29 10-196,-23 2-360,0 2 1,-1 1 0,-1 0 0,0 1-1,-1 0 1,26 22 0,36 22 11,-79-54-33,1-1 0,-1 1 0,0-1 0,0 1 0,0-1 0,2 1 0,-2 0 0,0-1 0,0 1 0,0-1 0,2 0 0,-2 1 0,0-1 0,0 0 0,1 0 0,-1 0 0,3 0 0,-3 0 0,0 0 0,-1-1 0,1 1 0,-1 0 0,2-1 0,-2 1 0,1-1 0,-1 1 0,1-1 0,-1 1 0,1-1 0,-1 1 0,0 0 0,1 0 0,-1-1 0,0 1 0,0-1 0,1 0 0,-1 1 0,0-1 0,0 0 0,0 1 0,0-1 0,0-1 0,2-3 0,-2 0 0,0-1 0,-2 2 0,1-2 0,0 0 0,0 2 0,-3-6 0,-13-25 0,-3 1 0,-1 1 0,-2 0 0,-29-30 0,36 43 0,-14-13 0,22 25 0,0 0 0,1 0 0,0 0 0,1-2 0,0 2 0,-8-19 0,13 26 8,1-1 1,0 1-1,0 0 0,0-1 0,0 1 0,0 0 0,0 0 1,0-1-1,0 1 0,0 0 0,0-1 0,1 1 0,-1-1 0,1 1 1,-1 0-1,2-1 0,-1 2 0,-1-1 0,1 0 0,0 0 1,0-1-1,0 1 0,0 0 0,1 0 0,-1 0 0,0 0 1,0 0-1,0 1 0,0-1 0,2 0 0,-2 1 0,0 0 0,1-1 1,0 1-1,-1-1 0,1 1 0,-1 0 0,0 0 0,2-1 1,1 1-1,10-2-282,-1 1 0,1 0 1,24 2-1,-29-1-331,32 2-6221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AAD86-412C-4CDF-9163-7246A9649CA4}">
  <dimension ref="E1:AH39"/>
  <sheetViews>
    <sheetView zoomScale="85" zoomScaleNormal="85" workbookViewId="0">
      <selection activeCell="E7" sqref="E7"/>
    </sheetView>
  </sheetViews>
  <sheetFormatPr defaultRowHeight="14.25" x14ac:dyDescent="0.2"/>
  <cols>
    <col min="3" max="3" width="12.625" customWidth="1"/>
    <col min="4" max="4" width="10.75" customWidth="1"/>
    <col min="5" max="5" width="36.75" customWidth="1"/>
    <col min="6" max="6" width="30.75" style="2" customWidth="1"/>
    <col min="7" max="7" width="5" style="1" customWidth="1"/>
    <col min="8" max="8" width="5" style="19" customWidth="1"/>
    <col min="9" max="9" width="7.25" customWidth="1"/>
    <col min="10" max="33" width="4.75" customWidth="1"/>
    <col min="34" max="34" width="49" customWidth="1"/>
  </cols>
  <sheetData>
    <row r="1" spans="6:34" x14ac:dyDescent="0.2">
      <c r="F1" s="12"/>
      <c r="G1" s="13">
        <v>31</v>
      </c>
      <c r="H1" s="17" t="s">
        <v>44</v>
      </c>
      <c r="I1" s="14" t="s">
        <v>9</v>
      </c>
      <c r="J1" s="12">
        <v>23</v>
      </c>
      <c r="K1" s="12">
        <v>22</v>
      </c>
      <c r="L1" s="12">
        <v>21</v>
      </c>
      <c r="M1" s="12">
        <v>20</v>
      </c>
      <c r="N1" s="12">
        <v>19</v>
      </c>
      <c r="O1" s="12">
        <v>18</v>
      </c>
      <c r="P1" s="12">
        <v>17</v>
      </c>
      <c r="Q1" s="12">
        <v>16</v>
      </c>
      <c r="R1" s="12">
        <v>15</v>
      </c>
      <c r="S1" s="12">
        <v>14</v>
      </c>
      <c r="T1" s="12">
        <v>13</v>
      </c>
      <c r="U1" s="12">
        <v>12</v>
      </c>
      <c r="V1" s="12">
        <v>11</v>
      </c>
      <c r="W1" s="12">
        <v>10</v>
      </c>
      <c r="X1" s="12">
        <v>9</v>
      </c>
      <c r="Y1" s="12">
        <v>8</v>
      </c>
      <c r="Z1" s="12">
        <v>7</v>
      </c>
      <c r="AA1" s="12">
        <v>6</v>
      </c>
      <c r="AB1" s="12">
        <v>5</v>
      </c>
      <c r="AC1" s="12">
        <v>4</v>
      </c>
      <c r="AD1" s="12">
        <v>3</v>
      </c>
      <c r="AE1" s="12">
        <v>2</v>
      </c>
      <c r="AF1" s="12">
        <v>1</v>
      </c>
      <c r="AG1" s="12">
        <v>0</v>
      </c>
      <c r="AH1" t="s">
        <v>169</v>
      </c>
    </row>
    <row r="2" spans="6:34" x14ac:dyDescent="0.2">
      <c r="F2" s="4" t="s">
        <v>42</v>
      </c>
      <c r="G2" s="5" t="s">
        <v>10</v>
      </c>
      <c r="H2" s="18"/>
      <c r="I2" s="4" t="s">
        <v>7</v>
      </c>
      <c r="J2" s="93" t="s">
        <v>8</v>
      </c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</row>
    <row r="3" spans="6:34" ht="47.25" x14ac:dyDescent="0.2">
      <c r="F3" s="6" t="s">
        <v>11</v>
      </c>
      <c r="G3" s="7" t="s">
        <v>30</v>
      </c>
      <c r="H3" s="20">
        <v>0</v>
      </c>
      <c r="I3" s="8" t="str">
        <f t="shared" ref="I3:I11" si="0">"0x" &amp; DEC2HEX(H3,2)</f>
        <v>0x00</v>
      </c>
      <c r="J3" s="86" t="s">
        <v>25</v>
      </c>
      <c r="K3" s="86"/>
      <c r="L3" s="86"/>
      <c r="M3" s="86"/>
      <c r="N3" s="86"/>
      <c r="O3" s="86"/>
      <c r="P3" s="86"/>
      <c r="Q3" s="86"/>
      <c r="R3" s="15" t="s">
        <v>43</v>
      </c>
      <c r="S3" s="86" t="s">
        <v>52</v>
      </c>
      <c r="T3" s="86"/>
      <c r="U3" s="15" t="s">
        <v>38</v>
      </c>
      <c r="V3" s="9">
        <v>0</v>
      </c>
      <c r="W3" s="15" t="s">
        <v>55</v>
      </c>
      <c r="X3" s="15" t="s">
        <v>22</v>
      </c>
      <c r="Y3" s="15" t="s">
        <v>20</v>
      </c>
      <c r="Z3" s="15" t="s">
        <v>19</v>
      </c>
      <c r="AA3" s="15" t="s">
        <v>18</v>
      </c>
      <c r="AB3" s="15" t="s">
        <v>17</v>
      </c>
      <c r="AC3" s="15" t="s">
        <v>16</v>
      </c>
      <c r="AD3" s="15" t="s">
        <v>15</v>
      </c>
      <c r="AE3" s="15" t="s">
        <v>14</v>
      </c>
      <c r="AF3" s="15" t="s">
        <v>13</v>
      </c>
      <c r="AG3" s="15" t="s">
        <v>12</v>
      </c>
      <c r="AH3" t="s">
        <v>172</v>
      </c>
    </row>
    <row r="4" spans="6:34" x14ac:dyDescent="0.2">
      <c r="F4" s="6" t="s">
        <v>39</v>
      </c>
      <c r="G4" s="7" t="s">
        <v>30</v>
      </c>
      <c r="H4" s="20">
        <v>1</v>
      </c>
      <c r="I4" s="8" t="str">
        <f t="shared" si="0"/>
        <v>0x01</v>
      </c>
      <c r="J4" s="86" t="s">
        <v>26</v>
      </c>
      <c r="K4" s="86"/>
      <c r="L4" s="86"/>
      <c r="M4" s="86"/>
      <c r="N4" s="86"/>
      <c r="O4" s="86"/>
      <c r="P4" s="86"/>
      <c r="Q4" s="86"/>
      <c r="R4" s="9"/>
      <c r="S4" s="86" t="s">
        <v>29</v>
      </c>
      <c r="T4" s="86"/>
      <c r="U4" s="86"/>
      <c r="V4" s="86"/>
      <c r="W4" s="86"/>
      <c r="X4" s="86" t="s">
        <v>28</v>
      </c>
      <c r="Y4" s="86"/>
      <c r="Z4" s="86"/>
      <c r="AA4" s="86"/>
      <c r="AB4" s="86" t="s">
        <v>27</v>
      </c>
      <c r="AC4" s="86"/>
      <c r="AD4" s="86"/>
      <c r="AE4" s="86"/>
      <c r="AF4" s="86"/>
      <c r="AG4" s="86"/>
    </row>
    <row r="5" spans="6:34" x14ac:dyDescent="0.2">
      <c r="F5" s="6" t="s">
        <v>40</v>
      </c>
      <c r="G5" s="7" t="s">
        <v>30</v>
      </c>
      <c r="H5" s="20">
        <v>2</v>
      </c>
      <c r="I5" s="8" t="str">
        <f t="shared" si="0"/>
        <v>0x02</v>
      </c>
      <c r="J5" s="9">
        <v>0</v>
      </c>
      <c r="K5" s="9">
        <v>0</v>
      </c>
      <c r="L5" s="9">
        <v>0</v>
      </c>
      <c r="M5" s="9">
        <v>0</v>
      </c>
      <c r="N5" s="90" t="s">
        <v>41</v>
      </c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2"/>
    </row>
    <row r="6" spans="6:34" x14ac:dyDescent="0.2">
      <c r="F6" s="6" t="s">
        <v>31</v>
      </c>
      <c r="G6" s="7" t="s">
        <v>10</v>
      </c>
      <c r="H6" s="20">
        <v>3</v>
      </c>
      <c r="I6" s="8" t="str">
        <f t="shared" si="0"/>
        <v>0x03</v>
      </c>
      <c r="J6" s="86" t="s">
        <v>32</v>
      </c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</row>
    <row r="7" spans="6:34" x14ac:dyDescent="0.2">
      <c r="F7" s="9" t="s">
        <v>86</v>
      </c>
      <c r="G7" s="53" t="s">
        <v>10</v>
      </c>
      <c r="H7" s="54">
        <v>4</v>
      </c>
      <c r="I7" s="55" t="str">
        <f t="shared" si="0"/>
        <v>0x04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</row>
    <row r="8" spans="6:34" x14ac:dyDescent="0.2">
      <c r="F8" s="9" t="s">
        <v>86</v>
      </c>
      <c r="G8" s="53" t="s">
        <v>10</v>
      </c>
      <c r="H8" s="54">
        <v>5</v>
      </c>
      <c r="I8" s="55" t="str">
        <f t="shared" si="0"/>
        <v>0x05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</row>
    <row r="9" spans="6:34" x14ac:dyDescent="0.2">
      <c r="F9" s="6" t="s">
        <v>24</v>
      </c>
      <c r="G9" s="7" t="s">
        <v>10</v>
      </c>
      <c r="H9" s="20">
        <v>6</v>
      </c>
      <c r="I9" s="8" t="str">
        <f t="shared" si="0"/>
        <v>0x06</v>
      </c>
      <c r="J9" s="9">
        <v>0</v>
      </c>
      <c r="K9" s="9">
        <v>0</v>
      </c>
      <c r="L9" s="9">
        <v>0</v>
      </c>
      <c r="M9" s="9">
        <v>0</v>
      </c>
      <c r="N9" s="87" t="s">
        <v>163</v>
      </c>
      <c r="O9" s="88"/>
      <c r="P9" s="88"/>
      <c r="Q9" s="88"/>
      <c r="R9" s="88"/>
      <c r="S9" s="88"/>
      <c r="T9" s="88"/>
      <c r="U9" s="88"/>
      <c r="V9" s="88"/>
      <c r="W9" s="88"/>
      <c r="X9" s="88"/>
      <c r="Y9" s="89"/>
      <c r="Z9" s="87" t="s">
        <v>162</v>
      </c>
      <c r="AA9" s="88"/>
      <c r="AB9" s="88"/>
      <c r="AC9" s="88"/>
      <c r="AD9" s="88"/>
      <c r="AE9" s="89"/>
      <c r="AF9" s="90" t="s">
        <v>6</v>
      </c>
      <c r="AG9" s="95"/>
      <c r="AH9" t="s">
        <v>170</v>
      </c>
    </row>
    <row r="10" spans="6:34" ht="44.25" thickBot="1" x14ac:dyDescent="0.25">
      <c r="F10" s="21" t="s">
        <v>23</v>
      </c>
      <c r="G10" s="22" t="s">
        <v>10</v>
      </c>
      <c r="H10" s="23">
        <v>7</v>
      </c>
      <c r="I10" s="24" t="str">
        <f t="shared" si="0"/>
        <v>0x07</v>
      </c>
      <c r="J10" s="56" t="s">
        <v>156</v>
      </c>
      <c r="K10" s="56" t="s">
        <v>157</v>
      </c>
      <c r="L10" s="94" t="s">
        <v>21</v>
      </c>
      <c r="M10" s="94"/>
      <c r="N10" s="94"/>
      <c r="O10" s="94"/>
      <c r="P10" s="94"/>
      <c r="Q10" s="94"/>
      <c r="R10" s="94" t="s">
        <v>2</v>
      </c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t="s">
        <v>171</v>
      </c>
    </row>
    <row r="11" spans="6:34" x14ac:dyDescent="0.2">
      <c r="F11" s="25" t="s">
        <v>45</v>
      </c>
      <c r="G11" s="26" t="s">
        <v>10</v>
      </c>
      <c r="H11" s="27">
        <v>8</v>
      </c>
      <c r="I11" s="28" t="str">
        <f t="shared" si="0"/>
        <v>0x08</v>
      </c>
      <c r="J11" s="57" t="s">
        <v>138</v>
      </c>
      <c r="K11" s="58"/>
      <c r="L11" s="58"/>
      <c r="M11" s="58"/>
      <c r="N11" s="58"/>
      <c r="O11" s="58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60"/>
      <c r="AH11" t="s">
        <v>174</v>
      </c>
    </row>
    <row r="12" spans="6:34" ht="15" x14ac:dyDescent="0.2">
      <c r="F12" s="67" t="s">
        <v>46</v>
      </c>
      <c r="G12" s="68"/>
      <c r="H12" s="68"/>
      <c r="I12" s="69"/>
      <c r="J12" s="61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3"/>
    </row>
    <row r="13" spans="6:34" ht="15" thickBot="1" x14ac:dyDescent="0.25">
      <c r="F13" s="29" t="s">
        <v>130</v>
      </c>
      <c r="G13" s="30" t="s">
        <v>10</v>
      </c>
      <c r="H13" s="31">
        <v>11</v>
      </c>
      <c r="I13" s="32" t="str">
        <f>"0x" &amp; DEC2HEX(H13,2)</f>
        <v>0x0B</v>
      </c>
      <c r="J13" s="64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6"/>
    </row>
    <row r="14" spans="6:34" x14ac:dyDescent="0.2">
      <c r="F14" s="33" t="s">
        <v>47</v>
      </c>
      <c r="G14" s="34" t="s">
        <v>10</v>
      </c>
      <c r="H14" s="35">
        <v>12</v>
      </c>
      <c r="I14" s="36" t="str">
        <f>"0x" &amp; DEC2HEX(H14,2)</f>
        <v>0x0C</v>
      </c>
      <c r="J14" s="70" t="s">
        <v>139</v>
      </c>
      <c r="K14" s="71"/>
      <c r="L14" s="71"/>
      <c r="M14" s="71"/>
      <c r="N14" s="71"/>
      <c r="O14" s="71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3"/>
    </row>
    <row r="15" spans="6:34" ht="15" x14ac:dyDescent="0.2">
      <c r="F15" s="80" t="s">
        <v>46</v>
      </c>
      <c r="G15" s="81"/>
      <c r="H15" s="81"/>
      <c r="I15" s="82"/>
      <c r="J15" s="74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6"/>
    </row>
    <row r="16" spans="6:34" ht="15" thickBot="1" x14ac:dyDescent="0.25">
      <c r="F16" s="37" t="s">
        <v>131</v>
      </c>
      <c r="G16" s="38" t="s">
        <v>10</v>
      </c>
      <c r="H16" s="39">
        <v>15</v>
      </c>
      <c r="I16" s="40" t="str">
        <f>"0x" &amp; DEC2HEX(H16,2)</f>
        <v>0x0F</v>
      </c>
      <c r="J16" s="77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9"/>
    </row>
    <row r="17" spans="6:33" x14ac:dyDescent="0.2">
      <c r="F17" s="25" t="s">
        <v>48</v>
      </c>
      <c r="G17" s="26" t="s">
        <v>10</v>
      </c>
      <c r="H17" s="27">
        <v>16</v>
      </c>
      <c r="I17" s="28" t="str">
        <f>"0x" &amp; DEC2HEX(H17,2)</f>
        <v>0x10</v>
      </c>
      <c r="J17" s="57" t="s">
        <v>140</v>
      </c>
      <c r="K17" s="58"/>
      <c r="L17" s="58"/>
      <c r="M17" s="58"/>
      <c r="N17" s="58"/>
      <c r="O17" s="58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60"/>
    </row>
    <row r="18" spans="6:33" ht="15" x14ac:dyDescent="0.2">
      <c r="F18" s="67" t="s">
        <v>46</v>
      </c>
      <c r="G18" s="68"/>
      <c r="H18" s="68"/>
      <c r="I18" s="69"/>
      <c r="J18" s="61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3"/>
    </row>
    <row r="19" spans="6:33" ht="15" thickBot="1" x14ac:dyDescent="0.25">
      <c r="F19" s="29" t="s">
        <v>132</v>
      </c>
      <c r="G19" s="30" t="s">
        <v>10</v>
      </c>
      <c r="H19" s="31">
        <v>19</v>
      </c>
      <c r="I19" s="32" t="str">
        <f>"0x" &amp; DEC2HEX(H19,2)</f>
        <v>0x13</v>
      </c>
      <c r="J19" s="64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6"/>
    </row>
    <row r="20" spans="6:33" x14ac:dyDescent="0.2">
      <c r="F20" s="33" t="s">
        <v>49</v>
      </c>
      <c r="G20" s="34" t="s">
        <v>10</v>
      </c>
      <c r="H20" s="35">
        <v>20</v>
      </c>
      <c r="I20" s="36" t="str">
        <f>"0x" &amp; DEC2HEX(H20,2)</f>
        <v>0x14</v>
      </c>
      <c r="J20" s="70" t="s">
        <v>141</v>
      </c>
      <c r="K20" s="71"/>
      <c r="L20" s="71"/>
      <c r="M20" s="71"/>
      <c r="N20" s="71"/>
      <c r="O20" s="71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3"/>
    </row>
    <row r="21" spans="6:33" ht="15" x14ac:dyDescent="0.2">
      <c r="F21" s="80" t="s">
        <v>46</v>
      </c>
      <c r="G21" s="81"/>
      <c r="H21" s="81"/>
      <c r="I21" s="82"/>
      <c r="J21" s="74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6"/>
    </row>
    <row r="22" spans="6:33" ht="15" thickBot="1" x14ac:dyDescent="0.25">
      <c r="F22" s="37" t="s">
        <v>133</v>
      </c>
      <c r="G22" s="38" t="s">
        <v>10</v>
      </c>
      <c r="H22" s="39">
        <v>23</v>
      </c>
      <c r="I22" s="40" t="str">
        <f>"0x" &amp; DEC2HEX(H22,2)</f>
        <v>0x17</v>
      </c>
      <c r="J22" s="77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9"/>
    </row>
    <row r="23" spans="6:33" x14ac:dyDescent="0.2">
      <c r="F23" s="25" t="s">
        <v>50</v>
      </c>
      <c r="G23" s="26" t="s">
        <v>10</v>
      </c>
      <c r="H23" s="27">
        <v>24</v>
      </c>
      <c r="I23" s="28" t="str">
        <f>"0x" &amp; DEC2HEX(H23,2)</f>
        <v>0x18</v>
      </c>
      <c r="J23" s="57" t="s">
        <v>142</v>
      </c>
      <c r="K23" s="58"/>
      <c r="L23" s="58"/>
      <c r="M23" s="58"/>
      <c r="N23" s="58"/>
      <c r="O23" s="58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60"/>
    </row>
    <row r="24" spans="6:33" ht="15" x14ac:dyDescent="0.2">
      <c r="F24" s="67" t="s">
        <v>46</v>
      </c>
      <c r="G24" s="68"/>
      <c r="H24" s="68"/>
      <c r="I24" s="69"/>
      <c r="J24" s="61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3"/>
    </row>
    <row r="25" spans="6:33" ht="15" thickBot="1" x14ac:dyDescent="0.25">
      <c r="F25" s="29" t="s">
        <v>134</v>
      </c>
      <c r="G25" s="30" t="s">
        <v>10</v>
      </c>
      <c r="H25" s="31">
        <v>27</v>
      </c>
      <c r="I25" s="32" t="str">
        <f>"0x" &amp; DEC2HEX(H25,2)</f>
        <v>0x1B</v>
      </c>
      <c r="J25" s="64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6"/>
    </row>
    <row r="26" spans="6:33" x14ac:dyDescent="0.2">
      <c r="F26" s="33" t="s">
        <v>51</v>
      </c>
      <c r="G26" s="34" t="s">
        <v>10</v>
      </c>
      <c r="H26" s="35">
        <v>28</v>
      </c>
      <c r="I26" s="36" t="str">
        <f>"0x" &amp; DEC2HEX(H26,2)</f>
        <v>0x1C</v>
      </c>
      <c r="J26" s="70" t="s">
        <v>143</v>
      </c>
      <c r="K26" s="71"/>
      <c r="L26" s="71"/>
      <c r="M26" s="71"/>
      <c r="N26" s="71"/>
      <c r="O26" s="71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3"/>
    </row>
    <row r="27" spans="6:33" ht="15" x14ac:dyDescent="0.2">
      <c r="F27" s="80" t="s">
        <v>46</v>
      </c>
      <c r="G27" s="81"/>
      <c r="H27" s="81"/>
      <c r="I27" s="82"/>
      <c r="J27" s="74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6"/>
    </row>
    <row r="28" spans="6:33" ht="15" thickBot="1" x14ac:dyDescent="0.25">
      <c r="F28" s="37" t="s">
        <v>135</v>
      </c>
      <c r="G28" s="38" t="s">
        <v>10</v>
      </c>
      <c r="H28" s="39">
        <v>31</v>
      </c>
      <c r="I28" s="40" t="str">
        <f>"0x" &amp; DEC2HEX(H28,2)</f>
        <v>0x1F</v>
      </c>
      <c r="J28" s="77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9"/>
    </row>
    <row r="29" spans="6:33" x14ac:dyDescent="0.2">
      <c r="F29" s="25" t="s">
        <v>53</v>
      </c>
      <c r="G29" s="26" t="s">
        <v>10</v>
      </c>
      <c r="H29" s="27">
        <v>32</v>
      </c>
      <c r="I29" s="28" t="str">
        <f>"0x" &amp; DEC2HEX(H29,2)</f>
        <v>0x20</v>
      </c>
      <c r="J29" s="57" t="s">
        <v>144</v>
      </c>
      <c r="K29" s="58"/>
      <c r="L29" s="58"/>
      <c r="M29" s="58"/>
      <c r="N29" s="58"/>
      <c r="O29" s="58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60"/>
    </row>
    <row r="30" spans="6:33" ht="15" x14ac:dyDescent="0.2">
      <c r="F30" s="67" t="s">
        <v>46</v>
      </c>
      <c r="G30" s="68"/>
      <c r="H30" s="68"/>
      <c r="I30" s="69"/>
      <c r="J30" s="61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3"/>
    </row>
    <row r="31" spans="6:33" ht="15" thickBot="1" x14ac:dyDescent="0.25">
      <c r="F31" s="29" t="s">
        <v>136</v>
      </c>
      <c r="G31" s="30" t="s">
        <v>10</v>
      </c>
      <c r="H31" s="31">
        <v>35</v>
      </c>
      <c r="I31" s="32" t="str">
        <f>"0x" &amp; DEC2HEX(H31,2)</f>
        <v>0x23</v>
      </c>
      <c r="J31" s="64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6"/>
    </row>
    <row r="32" spans="6:33" x14ac:dyDescent="0.2">
      <c r="F32" s="33" t="s">
        <v>54</v>
      </c>
      <c r="G32" s="34" t="s">
        <v>10</v>
      </c>
      <c r="H32" s="35">
        <v>36</v>
      </c>
      <c r="I32" s="36" t="str">
        <f>"0x" &amp; DEC2HEX(H32,2)</f>
        <v>0x24</v>
      </c>
      <c r="J32" s="70" t="s">
        <v>145</v>
      </c>
      <c r="K32" s="71"/>
      <c r="L32" s="71"/>
      <c r="M32" s="71"/>
      <c r="N32" s="71"/>
      <c r="O32" s="71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3"/>
    </row>
    <row r="33" spans="5:34" ht="15" x14ac:dyDescent="0.2">
      <c r="F33" s="80" t="s">
        <v>46</v>
      </c>
      <c r="G33" s="81"/>
      <c r="H33" s="81"/>
      <c r="I33" s="82"/>
      <c r="J33" s="74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6"/>
    </row>
    <row r="34" spans="5:34" ht="15" thickBot="1" x14ac:dyDescent="0.25">
      <c r="F34" s="37" t="s">
        <v>137</v>
      </c>
      <c r="G34" s="38" t="s">
        <v>10</v>
      </c>
      <c r="H34" s="39">
        <v>39</v>
      </c>
      <c r="I34" s="40" t="str">
        <f>"0x" &amp; DEC2HEX(H34,2)</f>
        <v>0x27</v>
      </c>
      <c r="J34" s="77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9"/>
    </row>
    <row r="35" spans="5:34" x14ac:dyDescent="0.2">
      <c r="F35" s="10" t="s">
        <v>37</v>
      </c>
      <c r="G35" s="7" t="s">
        <v>10</v>
      </c>
      <c r="H35" s="20">
        <v>40</v>
      </c>
      <c r="I35" s="8" t="str">
        <f>"0x" &amp; DEC2HEX(H35,2)</f>
        <v>0x28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83" t="s">
        <v>35</v>
      </c>
      <c r="AA35" s="84"/>
      <c r="AB35" s="84"/>
      <c r="AC35" s="84"/>
      <c r="AD35" s="84"/>
      <c r="AE35" s="84"/>
      <c r="AF35" s="84"/>
      <c r="AG35" s="85"/>
      <c r="AH35" t="s">
        <v>173</v>
      </c>
    </row>
    <row r="36" spans="5:34" x14ac:dyDescent="0.2">
      <c r="F36" s="10" t="s">
        <v>34</v>
      </c>
      <c r="G36" s="7" t="s">
        <v>36</v>
      </c>
      <c r="H36" s="20">
        <v>41</v>
      </c>
      <c r="I36" s="8" t="str">
        <f>"0x" &amp; DEC2HEX(H36,2)</f>
        <v>0x29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8" t="s">
        <v>33</v>
      </c>
      <c r="AH36" t="s">
        <v>173</v>
      </c>
    </row>
    <row r="37" spans="5:34" ht="15" x14ac:dyDescent="0.2">
      <c r="E37" s="3"/>
    </row>
    <row r="38" spans="5:34" ht="15" x14ac:dyDescent="0.2">
      <c r="E38" s="3"/>
    </row>
    <row r="39" spans="5:34" ht="15" x14ac:dyDescent="0.2">
      <c r="E39" s="3"/>
    </row>
  </sheetData>
  <mergeCells count="31">
    <mergeCell ref="N5:AG5"/>
    <mergeCell ref="J2:AG2"/>
    <mergeCell ref="R10:AG10"/>
    <mergeCell ref="L10:Q10"/>
    <mergeCell ref="AF9:AG9"/>
    <mergeCell ref="J3:Q3"/>
    <mergeCell ref="S3:T3"/>
    <mergeCell ref="J4:Q4"/>
    <mergeCell ref="S4:W4"/>
    <mergeCell ref="X4:AA4"/>
    <mergeCell ref="AB4:AG4"/>
    <mergeCell ref="J6:AG6"/>
    <mergeCell ref="F12:I12"/>
    <mergeCell ref="J14:AG16"/>
    <mergeCell ref="F15:I15"/>
    <mergeCell ref="J17:AG19"/>
    <mergeCell ref="F18:I18"/>
    <mergeCell ref="J11:AG13"/>
    <mergeCell ref="Z9:AE9"/>
    <mergeCell ref="N9:Y9"/>
    <mergeCell ref="F21:I21"/>
    <mergeCell ref="J23:AG25"/>
    <mergeCell ref="F24:I24"/>
    <mergeCell ref="J26:AG28"/>
    <mergeCell ref="F27:I27"/>
    <mergeCell ref="J20:AG22"/>
    <mergeCell ref="J29:AG31"/>
    <mergeCell ref="F30:I30"/>
    <mergeCell ref="J32:AG34"/>
    <mergeCell ref="F33:I33"/>
    <mergeCell ref="Z35:AG3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0968A-9254-4B5C-860F-50DE18FD7E92}">
  <dimension ref="E1:AG8"/>
  <sheetViews>
    <sheetView topLeftCell="F1" zoomScale="70" zoomScaleNormal="70" workbookViewId="0">
      <selection activeCell="J40" sqref="J40"/>
    </sheetView>
  </sheetViews>
  <sheetFormatPr defaultRowHeight="14.25" x14ac:dyDescent="0.2"/>
  <cols>
    <col min="3" max="3" width="12.625" customWidth="1"/>
    <col min="4" max="4" width="10.75" customWidth="1"/>
    <col min="5" max="5" width="36.75" customWidth="1"/>
    <col min="6" max="6" width="30.75" style="2" customWidth="1"/>
    <col min="7" max="7" width="5" style="1" customWidth="1"/>
    <col min="8" max="8" width="5" style="19" customWidth="1"/>
    <col min="9" max="9" width="7.25" customWidth="1"/>
    <col min="10" max="33" width="4.75" customWidth="1"/>
    <col min="37" max="37" width="6.75" customWidth="1"/>
  </cols>
  <sheetData>
    <row r="1" spans="5:33" x14ac:dyDescent="0.2">
      <c r="F1" s="12"/>
      <c r="G1" s="13">
        <v>31</v>
      </c>
      <c r="H1" s="17" t="s">
        <v>44</v>
      </c>
      <c r="I1" s="14" t="s">
        <v>9</v>
      </c>
      <c r="J1" s="12">
        <v>23</v>
      </c>
      <c r="K1" s="12">
        <v>22</v>
      </c>
      <c r="L1" s="12">
        <v>21</v>
      </c>
      <c r="M1" s="12">
        <v>20</v>
      </c>
      <c r="N1" s="12">
        <v>19</v>
      </c>
      <c r="O1" s="12">
        <v>18</v>
      </c>
      <c r="P1" s="12">
        <v>17</v>
      </c>
      <c r="Q1" s="12">
        <v>16</v>
      </c>
      <c r="R1" s="12">
        <v>15</v>
      </c>
      <c r="S1" s="12">
        <v>14</v>
      </c>
      <c r="T1" s="12">
        <v>13</v>
      </c>
      <c r="U1" s="12">
        <v>12</v>
      </c>
      <c r="V1" s="12">
        <v>11</v>
      </c>
      <c r="W1" s="12">
        <v>10</v>
      </c>
      <c r="X1" s="12">
        <v>9</v>
      </c>
      <c r="Y1" s="12">
        <v>8</v>
      </c>
      <c r="Z1" s="12">
        <v>7</v>
      </c>
      <c r="AA1" s="12">
        <v>6</v>
      </c>
      <c r="AB1" s="12">
        <v>5</v>
      </c>
      <c r="AC1" s="12">
        <v>4</v>
      </c>
      <c r="AD1" s="12">
        <v>3</v>
      </c>
      <c r="AE1" s="12">
        <v>2</v>
      </c>
      <c r="AF1" s="12">
        <v>1</v>
      </c>
      <c r="AG1" s="12">
        <v>0</v>
      </c>
    </row>
    <row r="2" spans="5:33" x14ac:dyDescent="0.2">
      <c r="F2" s="4" t="s">
        <v>42</v>
      </c>
      <c r="G2" s="5" t="s">
        <v>10</v>
      </c>
      <c r="H2" s="18"/>
      <c r="I2" s="4" t="s">
        <v>7</v>
      </c>
      <c r="J2" s="93" t="s">
        <v>8</v>
      </c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</row>
    <row r="3" spans="5:33" ht="51.75" customHeight="1" x14ac:dyDescent="0.2">
      <c r="E3" s="3"/>
      <c r="F3" s="6" t="s">
        <v>11</v>
      </c>
      <c r="G3" s="7" t="s">
        <v>30</v>
      </c>
      <c r="H3" s="20">
        <v>0</v>
      </c>
      <c r="I3" s="8" t="str">
        <f t="shared" ref="I3" si="0">"0x" &amp; DEC2HEX(H3,2)</f>
        <v>0x00</v>
      </c>
      <c r="J3" s="86" t="s">
        <v>25</v>
      </c>
      <c r="K3" s="86"/>
      <c r="L3" s="86"/>
      <c r="M3" s="86"/>
      <c r="N3" s="86"/>
      <c r="O3" s="86"/>
      <c r="P3" s="86"/>
      <c r="Q3" s="86"/>
      <c r="R3" s="15" t="s">
        <v>168</v>
      </c>
      <c r="S3" s="86" t="s">
        <v>52</v>
      </c>
      <c r="T3" s="86"/>
      <c r="U3" s="15" t="s">
        <v>38</v>
      </c>
      <c r="V3" s="9">
        <v>0</v>
      </c>
      <c r="W3" s="15" t="s">
        <v>55</v>
      </c>
      <c r="X3" s="15" t="s">
        <v>22</v>
      </c>
      <c r="Y3" s="15" t="s">
        <v>20</v>
      </c>
      <c r="Z3" s="15" t="s">
        <v>19</v>
      </c>
      <c r="AA3" s="15" t="s">
        <v>18</v>
      </c>
      <c r="AB3" s="15" t="s">
        <v>17</v>
      </c>
      <c r="AC3" s="15" t="s">
        <v>16</v>
      </c>
      <c r="AD3" s="15" t="s">
        <v>15</v>
      </c>
      <c r="AE3" s="15" t="s">
        <v>14</v>
      </c>
      <c r="AF3" s="15" t="s">
        <v>13</v>
      </c>
      <c r="AG3" s="15" t="s">
        <v>12</v>
      </c>
    </row>
    <row r="4" spans="5:33" ht="15" x14ac:dyDescent="0.2">
      <c r="E4" s="3"/>
    </row>
    <row r="5" spans="5:33" ht="30" customHeight="1" x14ac:dyDescent="0.2"/>
    <row r="6" spans="5:33" ht="27" customHeight="1" x14ac:dyDescent="0.2"/>
    <row r="7" spans="5:33" ht="32.25" customHeight="1" x14ac:dyDescent="0.2"/>
    <row r="8" spans="5:33" ht="32.25" customHeight="1" x14ac:dyDescent="0.2"/>
  </sheetData>
  <mergeCells count="3">
    <mergeCell ref="J3:Q3"/>
    <mergeCell ref="S3:T3"/>
    <mergeCell ref="J2:AG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F38E-CA6D-4AAB-93B1-08A3409BF7D5}">
  <dimension ref="E1:AP11"/>
  <sheetViews>
    <sheetView topLeftCell="G1" zoomScale="70" zoomScaleNormal="70" workbookViewId="0">
      <selection activeCell="AN15" sqref="AN15"/>
    </sheetView>
  </sheetViews>
  <sheetFormatPr defaultRowHeight="14.25" x14ac:dyDescent="0.2"/>
  <cols>
    <col min="3" max="3" width="12.625" customWidth="1"/>
    <col min="4" max="4" width="10.75" customWidth="1"/>
    <col min="5" max="5" width="36.75" customWidth="1"/>
    <col min="6" max="6" width="30.75" style="2" customWidth="1"/>
    <col min="7" max="7" width="5" style="1" customWidth="1"/>
    <col min="8" max="8" width="5" style="19" customWidth="1"/>
    <col min="9" max="9" width="7.25" customWidth="1"/>
    <col min="10" max="33" width="4.75" customWidth="1"/>
    <col min="37" max="37" width="6.75" customWidth="1"/>
    <col min="38" max="38" width="18.375" style="2" customWidth="1"/>
    <col min="39" max="39" width="18.75" customWidth="1"/>
    <col min="40" max="40" width="10.125" customWidth="1"/>
    <col min="41" max="41" width="104.875" customWidth="1"/>
  </cols>
  <sheetData>
    <row r="1" spans="5:42" x14ac:dyDescent="0.2">
      <c r="F1" s="12"/>
      <c r="G1" s="13">
        <v>31</v>
      </c>
      <c r="H1" s="17" t="s">
        <v>44</v>
      </c>
      <c r="I1" s="14" t="s">
        <v>9</v>
      </c>
      <c r="J1" s="12">
        <v>23</v>
      </c>
      <c r="K1" s="12">
        <v>22</v>
      </c>
      <c r="L1" s="12">
        <v>21</v>
      </c>
      <c r="M1" s="12">
        <v>20</v>
      </c>
      <c r="N1" s="12">
        <v>19</v>
      </c>
      <c r="O1" s="12">
        <v>18</v>
      </c>
      <c r="P1" s="12">
        <v>17</v>
      </c>
      <c r="Q1" s="12">
        <v>16</v>
      </c>
      <c r="R1" s="12">
        <v>15</v>
      </c>
      <c r="S1" s="12">
        <v>14</v>
      </c>
      <c r="T1" s="12">
        <v>13</v>
      </c>
      <c r="U1" s="12">
        <v>12</v>
      </c>
      <c r="V1" s="12">
        <v>11</v>
      </c>
      <c r="W1" s="12">
        <v>10</v>
      </c>
      <c r="X1" s="12">
        <v>9</v>
      </c>
      <c r="Y1" s="12">
        <v>8</v>
      </c>
      <c r="Z1" s="12">
        <v>7</v>
      </c>
      <c r="AA1" s="12">
        <v>6</v>
      </c>
      <c r="AB1" s="12">
        <v>5</v>
      </c>
      <c r="AC1" s="12">
        <v>4</v>
      </c>
      <c r="AD1" s="12">
        <v>3</v>
      </c>
      <c r="AE1" s="12">
        <v>2</v>
      </c>
      <c r="AF1" s="12">
        <v>1</v>
      </c>
      <c r="AG1" s="12">
        <v>0</v>
      </c>
    </row>
    <row r="2" spans="5:42" x14ac:dyDescent="0.2">
      <c r="F2" s="4" t="s">
        <v>42</v>
      </c>
      <c r="G2" s="5" t="s">
        <v>10</v>
      </c>
      <c r="H2" s="18"/>
      <c r="I2" s="4" t="s">
        <v>7</v>
      </c>
      <c r="J2" s="93" t="s">
        <v>8</v>
      </c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</row>
    <row r="3" spans="5:42" ht="15" x14ac:dyDescent="0.2">
      <c r="E3" s="3"/>
      <c r="F3" s="6" t="s">
        <v>24</v>
      </c>
      <c r="G3" s="7" t="s">
        <v>10</v>
      </c>
      <c r="H3" s="20">
        <v>6</v>
      </c>
      <c r="I3" s="8" t="str">
        <f t="shared" ref="I3" si="0">"0x" &amp; DEC2HEX(H3,2)</f>
        <v>0x06</v>
      </c>
      <c r="J3" s="9">
        <v>0</v>
      </c>
      <c r="K3" s="9">
        <v>0</v>
      </c>
      <c r="L3" s="9">
        <v>0</v>
      </c>
      <c r="M3" s="9">
        <v>0</v>
      </c>
      <c r="N3" s="87" t="s">
        <v>163</v>
      </c>
      <c r="O3" s="88"/>
      <c r="P3" s="88"/>
      <c r="Q3" s="88"/>
      <c r="R3" s="88"/>
      <c r="S3" s="88"/>
      <c r="T3" s="88"/>
      <c r="U3" s="88"/>
      <c r="V3" s="88"/>
      <c r="W3" s="88"/>
      <c r="X3" s="88"/>
      <c r="Y3" s="89"/>
      <c r="Z3" s="87" t="s">
        <v>162</v>
      </c>
      <c r="AA3" s="88"/>
      <c r="AB3" s="88"/>
      <c r="AC3" s="88"/>
      <c r="AD3" s="88"/>
      <c r="AE3" s="89"/>
      <c r="AF3" s="90" t="s">
        <v>6</v>
      </c>
      <c r="AG3" s="95"/>
    </row>
    <row r="4" spans="5:42" ht="15" x14ac:dyDescent="0.2">
      <c r="E4" s="3"/>
      <c r="AL4" s="16"/>
      <c r="AM4" s="16" t="s">
        <v>74</v>
      </c>
      <c r="AN4" s="16" t="s">
        <v>80</v>
      </c>
      <c r="AO4" s="16"/>
      <c r="AP4" s="16"/>
    </row>
    <row r="5" spans="5:42" ht="30" customHeight="1" x14ac:dyDescent="0.2">
      <c r="AL5" s="96"/>
      <c r="AM5" s="96" t="s">
        <v>6</v>
      </c>
      <c r="AN5" s="96" t="s">
        <v>88</v>
      </c>
      <c r="AO5" s="99" t="s">
        <v>164</v>
      </c>
      <c r="AP5" s="41" t="s">
        <v>57</v>
      </c>
    </row>
    <row r="6" spans="5:42" ht="27" customHeight="1" x14ac:dyDescent="0.2">
      <c r="AL6" s="97"/>
      <c r="AM6" s="97"/>
      <c r="AN6" s="97"/>
      <c r="AO6" s="100"/>
      <c r="AP6" s="44" t="s">
        <v>58</v>
      </c>
    </row>
    <row r="7" spans="5:42" ht="32.25" customHeight="1" x14ac:dyDescent="0.2">
      <c r="AL7" s="97"/>
      <c r="AM7" s="97"/>
      <c r="AN7" s="97"/>
      <c r="AO7" s="100"/>
      <c r="AP7" s="44" t="s">
        <v>59</v>
      </c>
    </row>
    <row r="8" spans="5:42" ht="32.25" customHeight="1" x14ac:dyDescent="0.2">
      <c r="AL8" s="97"/>
      <c r="AM8" s="98"/>
      <c r="AN8" s="98"/>
      <c r="AO8" s="101"/>
      <c r="AP8" s="44" t="s">
        <v>60</v>
      </c>
    </row>
    <row r="9" spans="5:42" x14ac:dyDescent="0.2">
      <c r="AL9" s="97"/>
      <c r="AM9" s="41" t="s">
        <v>162</v>
      </c>
      <c r="AN9" s="41" t="s">
        <v>166</v>
      </c>
      <c r="AO9" s="41" t="s">
        <v>165</v>
      </c>
      <c r="AP9" s="43">
        <v>0</v>
      </c>
    </row>
    <row r="10" spans="5:42" x14ac:dyDescent="0.2">
      <c r="AL10" s="97"/>
      <c r="AM10" s="52" t="s">
        <v>163</v>
      </c>
      <c r="AN10" s="52" t="s">
        <v>167</v>
      </c>
      <c r="AO10" s="52" t="s">
        <v>175</v>
      </c>
      <c r="AP10" s="43"/>
    </row>
    <row r="11" spans="5:42" x14ac:dyDescent="0.2">
      <c r="AL11" s="98"/>
      <c r="AM11" s="49" t="s">
        <v>86</v>
      </c>
      <c r="AN11" s="49" t="s">
        <v>98</v>
      </c>
      <c r="AO11" s="49"/>
      <c r="AP11" s="49"/>
    </row>
  </sheetData>
  <mergeCells count="8">
    <mergeCell ref="AO5:AO8"/>
    <mergeCell ref="J2:AG2"/>
    <mergeCell ref="N3:Y3"/>
    <mergeCell ref="Z3:AE3"/>
    <mergeCell ref="AF3:AG3"/>
    <mergeCell ref="AL5:AL11"/>
    <mergeCell ref="AM5:AM8"/>
    <mergeCell ref="AN5:AN8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B154F-0EAC-4A93-8347-B64B97F58F49}">
  <dimension ref="E1:AQ15"/>
  <sheetViews>
    <sheetView tabSelected="1" zoomScale="55" zoomScaleNormal="55" workbookViewId="0">
      <selection activeCell="AL5" sqref="AL5:AL15"/>
    </sheetView>
  </sheetViews>
  <sheetFormatPr defaultRowHeight="14.25" x14ac:dyDescent="0.2"/>
  <cols>
    <col min="3" max="3" width="12.625" customWidth="1"/>
    <col min="4" max="4" width="10.75" customWidth="1"/>
    <col min="5" max="5" width="36.75" customWidth="1"/>
    <col min="6" max="6" width="30.75" style="2" customWidth="1"/>
    <col min="7" max="7" width="5" style="1" customWidth="1"/>
    <col min="8" max="8" width="5" style="19" customWidth="1"/>
    <col min="9" max="9" width="7.25" customWidth="1"/>
    <col min="10" max="33" width="4.75" customWidth="1"/>
    <col min="37" max="37" width="6.75" customWidth="1"/>
    <col min="38" max="38" width="18.375" style="2" customWidth="1"/>
    <col min="39" max="39" width="18.75" customWidth="1"/>
    <col min="40" max="40" width="6.75" customWidth="1"/>
    <col min="41" max="41" width="62.875" customWidth="1"/>
    <col min="43" max="43" width="45.625" customWidth="1"/>
  </cols>
  <sheetData>
    <row r="1" spans="5:43" x14ac:dyDescent="0.2">
      <c r="F1" s="12"/>
      <c r="G1" s="13">
        <v>31</v>
      </c>
      <c r="H1" s="17" t="s">
        <v>44</v>
      </c>
      <c r="I1" s="14" t="s">
        <v>9</v>
      </c>
      <c r="J1" s="12">
        <v>23</v>
      </c>
      <c r="K1" s="12">
        <v>22</v>
      </c>
      <c r="L1" s="12">
        <v>21</v>
      </c>
      <c r="M1" s="12">
        <v>20</v>
      </c>
      <c r="N1" s="12">
        <v>19</v>
      </c>
      <c r="O1" s="12">
        <v>18</v>
      </c>
      <c r="P1" s="12">
        <v>17</v>
      </c>
      <c r="Q1" s="12">
        <v>16</v>
      </c>
      <c r="R1" s="12">
        <v>15</v>
      </c>
      <c r="S1" s="12">
        <v>14</v>
      </c>
      <c r="T1" s="12">
        <v>13</v>
      </c>
      <c r="U1" s="12">
        <v>12</v>
      </c>
      <c r="V1" s="12">
        <v>11</v>
      </c>
      <c r="W1" s="12">
        <v>10</v>
      </c>
      <c r="X1" s="12">
        <v>9</v>
      </c>
      <c r="Y1" s="12">
        <v>8</v>
      </c>
      <c r="Z1" s="12">
        <v>7</v>
      </c>
      <c r="AA1" s="12">
        <v>6</v>
      </c>
      <c r="AB1" s="12">
        <v>5</v>
      </c>
      <c r="AC1" s="12">
        <v>4</v>
      </c>
      <c r="AD1" s="12">
        <v>3</v>
      </c>
      <c r="AE1" s="12">
        <v>2</v>
      </c>
      <c r="AF1" s="12">
        <v>1</v>
      </c>
      <c r="AG1" s="12">
        <v>0</v>
      </c>
    </row>
    <row r="2" spans="5:43" x14ac:dyDescent="0.2">
      <c r="F2" s="4" t="s">
        <v>42</v>
      </c>
      <c r="G2" s="5" t="s">
        <v>10</v>
      </c>
      <c r="H2" s="18"/>
      <c r="I2" s="4" t="s">
        <v>7</v>
      </c>
      <c r="J2" s="93" t="s">
        <v>8</v>
      </c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</row>
    <row r="3" spans="5:43" ht="58.5" customHeight="1" x14ac:dyDescent="0.2">
      <c r="E3" s="3"/>
      <c r="F3" s="6" t="s">
        <v>23</v>
      </c>
      <c r="G3" s="7" t="s">
        <v>10</v>
      </c>
      <c r="H3" s="20">
        <v>7</v>
      </c>
      <c r="I3" s="8" t="str">
        <f t="shared" ref="I3" si="0">"0x" &amp; DEC2HEX(H3,2)</f>
        <v>0x07</v>
      </c>
      <c r="J3" s="15" t="s">
        <v>156</v>
      </c>
      <c r="K3" s="15" t="s">
        <v>146</v>
      </c>
      <c r="L3" s="86" t="s">
        <v>21</v>
      </c>
      <c r="M3" s="86"/>
      <c r="N3" s="86"/>
      <c r="O3" s="86"/>
      <c r="P3" s="86"/>
      <c r="Q3" s="86"/>
      <c r="R3" s="86" t="s">
        <v>2</v>
      </c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</row>
    <row r="4" spans="5:43" ht="15" x14ac:dyDescent="0.2">
      <c r="E4" s="3"/>
      <c r="AL4" s="16"/>
      <c r="AM4" s="16" t="s">
        <v>74</v>
      </c>
      <c r="AN4" s="16" t="s">
        <v>80</v>
      </c>
      <c r="AO4" s="16" t="s">
        <v>75</v>
      </c>
      <c r="AP4" s="16"/>
      <c r="AQ4" s="16"/>
    </row>
    <row r="5" spans="5:43" x14ac:dyDescent="0.2">
      <c r="AL5" s="102" t="s">
        <v>23</v>
      </c>
      <c r="AM5" s="102" t="s">
        <v>2</v>
      </c>
      <c r="AN5" s="102" t="s">
        <v>151</v>
      </c>
      <c r="AO5" s="104" t="s">
        <v>152</v>
      </c>
      <c r="AP5" s="109"/>
      <c r="AQ5" s="110"/>
    </row>
    <row r="6" spans="5:43" x14ac:dyDescent="0.2">
      <c r="AL6" s="102"/>
      <c r="AM6" s="102"/>
      <c r="AN6" s="102"/>
      <c r="AO6" s="103"/>
      <c r="AP6" s="111"/>
      <c r="AQ6" s="112"/>
    </row>
    <row r="7" spans="5:43" x14ac:dyDescent="0.2">
      <c r="AL7" s="103"/>
      <c r="AM7" s="103" t="s">
        <v>21</v>
      </c>
      <c r="AN7" s="103" t="s">
        <v>154</v>
      </c>
      <c r="AO7" s="104" t="s">
        <v>153</v>
      </c>
      <c r="AP7" s="113"/>
      <c r="AQ7" s="110"/>
    </row>
    <row r="8" spans="5:43" x14ac:dyDescent="0.2">
      <c r="AL8" s="103"/>
      <c r="AM8" s="103"/>
      <c r="AN8" s="103"/>
      <c r="AO8" s="103"/>
      <c r="AP8" s="114"/>
      <c r="AQ8" s="115"/>
    </row>
    <row r="9" spans="5:43" x14ac:dyDescent="0.2">
      <c r="AL9" s="103"/>
      <c r="AM9" s="103"/>
      <c r="AN9" s="103"/>
      <c r="AO9" s="103"/>
      <c r="AP9" s="114"/>
      <c r="AQ9" s="115"/>
    </row>
    <row r="10" spans="5:43" x14ac:dyDescent="0.2">
      <c r="AL10" s="103"/>
      <c r="AM10" s="103"/>
      <c r="AN10" s="103"/>
      <c r="AO10" s="103"/>
      <c r="AP10" s="111"/>
      <c r="AQ10" s="112"/>
    </row>
    <row r="11" spans="5:43" x14ac:dyDescent="0.2">
      <c r="AL11" s="103"/>
      <c r="AM11" s="102" t="s">
        <v>146</v>
      </c>
      <c r="AN11" s="102" t="s">
        <v>83</v>
      </c>
      <c r="AO11" s="104" t="s">
        <v>161</v>
      </c>
      <c r="AP11" s="43">
        <v>0</v>
      </c>
      <c r="AQ11" s="41" t="s">
        <v>155</v>
      </c>
    </row>
    <row r="12" spans="5:43" x14ac:dyDescent="0.2">
      <c r="AL12" s="103"/>
      <c r="AM12" s="102"/>
      <c r="AN12" s="103"/>
      <c r="AO12" s="103"/>
      <c r="AP12" s="43">
        <v>1</v>
      </c>
      <c r="AQ12" s="41" t="s">
        <v>158</v>
      </c>
    </row>
    <row r="13" spans="5:43" x14ac:dyDescent="0.2">
      <c r="AL13" s="103"/>
      <c r="AM13" s="102" t="s">
        <v>156</v>
      </c>
      <c r="AN13" s="102" t="s">
        <v>83</v>
      </c>
      <c r="AO13" s="104" t="s">
        <v>79</v>
      </c>
      <c r="AP13" s="43">
        <v>0</v>
      </c>
      <c r="AQ13" s="41" t="s">
        <v>159</v>
      </c>
    </row>
    <row r="14" spans="5:43" x14ac:dyDescent="0.2">
      <c r="AL14" s="103"/>
      <c r="AM14" s="102"/>
      <c r="AN14" s="103"/>
      <c r="AO14" s="103"/>
      <c r="AP14" s="43">
        <v>1</v>
      </c>
      <c r="AQ14" s="41" t="s">
        <v>160</v>
      </c>
    </row>
    <row r="15" spans="5:43" x14ac:dyDescent="0.2">
      <c r="AL15" s="103"/>
      <c r="AM15" s="49" t="s">
        <v>86</v>
      </c>
      <c r="AN15" s="49" t="s">
        <v>87</v>
      </c>
      <c r="AO15" s="50" t="s">
        <v>108</v>
      </c>
      <c r="AP15" s="49"/>
      <c r="AQ15" s="49"/>
    </row>
  </sheetData>
  <mergeCells count="18">
    <mergeCell ref="J2:AG2"/>
    <mergeCell ref="AP5:AQ6"/>
    <mergeCell ref="AP7:AQ10"/>
    <mergeCell ref="L3:Q3"/>
    <mergeCell ref="R3:AG3"/>
    <mergeCell ref="AM13:AM14"/>
    <mergeCell ref="AN13:AN14"/>
    <mergeCell ref="AO13:AO14"/>
    <mergeCell ref="AM11:AM12"/>
    <mergeCell ref="AN11:AN12"/>
    <mergeCell ref="AO11:AO12"/>
    <mergeCell ref="AM5:AM6"/>
    <mergeCell ref="AN5:AN6"/>
    <mergeCell ref="AO5:AO6"/>
    <mergeCell ref="AM7:AM10"/>
    <mergeCell ref="AN7:AN10"/>
    <mergeCell ref="AO7:AO10"/>
    <mergeCell ref="AL5:AL1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058B-94D5-42CE-B0CC-C2BADA28807E}">
  <dimension ref="E1:AQ42"/>
  <sheetViews>
    <sheetView zoomScale="55" zoomScaleNormal="55" workbookViewId="0">
      <selection activeCell="AE3" sqref="AE3:AF3"/>
    </sheetView>
  </sheetViews>
  <sheetFormatPr defaultRowHeight="14.25" x14ac:dyDescent="0.2"/>
  <cols>
    <col min="3" max="3" width="12.625" customWidth="1"/>
    <col min="4" max="4" width="10.75" customWidth="1"/>
    <col min="5" max="5" width="36.75" customWidth="1"/>
    <col min="6" max="6" width="30.75" style="2" customWidth="1"/>
    <col min="7" max="7" width="5" style="1" customWidth="1"/>
    <col min="8" max="8" width="5" style="19" customWidth="1"/>
    <col min="9" max="9" width="7.25" customWidth="1"/>
    <col min="10" max="33" width="4.75" customWidth="1"/>
    <col min="37" max="37" width="6.75" customWidth="1"/>
    <col min="38" max="38" width="18.375" style="2" customWidth="1"/>
    <col min="39" max="39" width="18.75" customWidth="1"/>
    <col min="40" max="40" width="6.75" customWidth="1"/>
    <col min="41" max="41" width="62.875" customWidth="1"/>
    <col min="43" max="43" width="45.625" customWidth="1"/>
  </cols>
  <sheetData>
    <row r="1" spans="5:43" x14ac:dyDescent="0.2">
      <c r="F1" s="12"/>
      <c r="G1" s="13">
        <v>31</v>
      </c>
      <c r="H1" s="17" t="s">
        <v>44</v>
      </c>
      <c r="I1" s="14" t="s">
        <v>9</v>
      </c>
      <c r="J1" s="12">
        <v>23</v>
      </c>
      <c r="K1" s="12">
        <v>22</v>
      </c>
      <c r="L1" s="12">
        <v>21</v>
      </c>
      <c r="M1" s="12">
        <v>20</v>
      </c>
      <c r="N1" s="12">
        <v>19</v>
      </c>
      <c r="O1" s="12">
        <v>18</v>
      </c>
      <c r="P1" s="12">
        <v>17</v>
      </c>
      <c r="Q1" s="12">
        <v>16</v>
      </c>
      <c r="R1" s="12">
        <v>15</v>
      </c>
      <c r="S1" s="12">
        <v>14</v>
      </c>
      <c r="T1" s="12">
        <v>13</v>
      </c>
      <c r="U1" s="12">
        <v>12</v>
      </c>
      <c r="V1" s="12">
        <v>11</v>
      </c>
      <c r="W1" s="12">
        <v>10</v>
      </c>
      <c r="X1" s="12">
        <v>9</v>
      </c>
      <c r="Y1" s="12">
        <v>8</v>
      </c>
      <c r="Z1" s="12">
        <v>7</v>
      </c>
      <c r="AA1" s="12">
        <v>6</v>
      </c>
      <c r="AB1" s="12">
        <v>5</v>
      </c>
      <c r="AC1" s="12">
        <v>4</v>
      </c>
      <c r="AD1" s="12">
        <v>3</v>
      </c>
      <c r="AE1" s="12">
        <v>2</v>
      </c>
      <c r="AF1" s="12">
        <v>1</v>
      </c>
      <c r="AG1" s="12">
        <v>0</v>
      </c>
    </row>
    <row r="2" spans="5:43" x14ac:dyDescent="0.2">
      <c r="F2" s="4" t="s">
        <v>42</v>
      </c>
      <c r="G2" s="5" t="s">
        <v>10</v>
      </c>
      <c r="H2" s="18"/>
      <c r="I2" s="4" t="s">
        <v>7</v>
      </c>
      <c r="J2" s="93" t="s">
        <v>8</v>
      </c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</row>
    <row r="3" spans="5:43" ht="44.25" customHeight="1" x14ac:dyDescent="0.2">
      <c r="F3" s="6" t="s">
        <v>147</v>
      </c>
      <c r="G3" s="7" t="s">
        <v>10</v>
      </c>
      <c r="H3" s="20">
        <v>0</v>
      </c>
      <c r="I3" s="8" t="str">
        <f t="shared" ref="I3:I6" si="0">"0x" &amp; DEC2HEX(H3,2)</f>
        <v>0x00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86" t="s">
        <v>1</v>
      </c>
      <c r="S3" s="105"/>
      <c r="T3" s="105"/>
      <c r="U3" s="105"/>
      <c r="V3" s="105"/>
      <c r="W3" s="105"/>
      <c r="X3" s="86" t="s">
        <v>0</v>
      </c>
      <c r="Y3" s="105"/>
      <c r="Z3" s="105"/>
      <c r="AA3" s="105"/>
      <c r="AB3" s="105"/>
      <c r="AC3" s="105"/>
      <c r="AD3" s="15" t="s">
        <v>64</v>
      </c>
      <c r="AE3" s="86" t="s">
        <v>63</v>
      </c>
      <c r="AF3" s="86"/>
      <c r="AG3" s="15" t="s">
        <v>77</v>
      </c>
    </row>
    <row r="4" spans="5:43" ht="48.75" customHeight="1" x14ac:dyDescent="0.2">
      <c r="F4" s="6" t="s">
        <v>148</v>
      </c>
      <c r="G4" s="7" t="s">
        <v>10</v>
      </c>
      <c r="H4" s="20">
        <v>1</v>
      </c>
      <c r="I4" s="8" t="str">
        <f t="shared" si="0"/>
        <v>0x01</v>
      </c>
      <c r="J4" s="11">
        <v>0</v>
      </c>
      <c r="K4" s="11">
        <v>0</v>
      </c>
      <c r="L4" s="11">
        <v>0</v>
      </c>
      <c r="M4" s="11">
        <v>0</v>
      </c>
      <c r="N4" s="86" t="s">
        <v>68</v>
      </c>
      <c r="O4" s="105"/>
      <c r="P4" s="105"/>
      <c r="Q4" s="105"/>
      <c r="R4" s="86" t="s">
        <v>69</v>
      </c>
      <c r="S4" s="105"/>
      <c r="T4" s="105"/>
      <c r="U4" s="105"/>
      <c r="V4" s="86" t="s">
        <v>70</v>
      </c>
      <c r="W4" s="105"/>
      <c r="X4" s="86" t="s">
        <v>67</v>
      </c>
      <c r="Y4" s="105"/>
      <c r="Z4" s="105"/>
      <c r="AA4" s="105"/>
      <c r="AB4" s="86" t="s">
        <v>66</v>
      </c>
      <c r="AC4" s="105"/>
      <c r="AD4" s="105"/>
      <c r="AE4" s="105"/>
      <c r="AF4" s="86" t="s">
        <v>65</v>
      </c>
      <c r="AG4" s="105"/>
    </row>
    <row r="5" spans="5:43" ht="58.5" customHeight="1" x14ac:dyDescent="0.2">
      <c r="F5" s="6" t="s">
        <v>149</v>
      </c>
      <c r="G5" s="7" t="s">
        <v>10</v>
      </c>
      <c r="H5" s="20">
        <v>2</v>
      </c>
      <c r="I5" s="8" t="str">
        <f t="shared" si="0"/>
        <v>0x02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86" t="s">
        <v>72</v>
      </c>
      <c r="U5" s="86"/>
      <c r="V5" s="86"/>
      <c r="W5" s="86"/>
      <c r="X5" s="90" t="s">
        <v>125</v>
      </c>
      <c r="Y5" s="91"/>
      <c r="Z5" s="92"/>
      <c r="AA5" s="86" t="s">
        <v>72</v>
      </c>
      <c r="AB5" s="86"/>
      <c r="AC5" s="86"/>
      <c r="AD5" s="86"/>
      <c r="AE5" s="90" t="s">
        <v>126</v>
      </c>
      <c r="AF5" s="91"/>
      <c r="AG5" s="92"/>
    </row>
    <row r="6" spans="5:43" ht="57" customHeight="1" x14ac:dyDescent="0.2">
      <c r="F6" s="6" t="s">
        <v>150</v>
      </c>
      <c r="G6" s="7" t="s">
        <v>10</v>
      </c>
      <c r="H6" s="20">
        <v>3</v>
      </c>
      <c r="I6" s="8" t="str">
        <f t="shared" si="0"/>
        <v>0x03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5" t="s">
        <v>109</v>
      </c>
      <c r="S6" s="86" t="s">
        <v>110</v>
      </c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</row>
    <row r="7" spans="5:43" ht="15" x14ac:dyDescent="0.2">
      <c r="E7" s="3"/>
    </row>
    <row r="8" spans="5:43" ht="15" x14ac:dyDescent="0.2">
      <c r="E8" s="3"/>
      <c r="AL8" s="16"/>
      <c r="AM8" s="16" t="s">
        <v>74</v>
      </c>
      <c r="AN8" s="16" t="s">
        <v>80</v>
      </c>
      <c r="AO8" s="16" t="s">
        <v>75</v>
      </c>
      <c r="AP8" s="16"/>
      <c r="AQ8" s="16"/>
    </row>
    <row r="9" spans="5:43" x14ac:dyDescent="0.2">
      <c r="AL9" s="102" t="s">
        <v>147</v>
      </c>
      <c r="AM9" s="102" t="s">
        <v>77</v>
      </c>
      <c r="AN9" s="102" t="s">
        <v>81</v>
      </c>
      <c r="AO9" s="104" t="s">
        <v>76</v>
      </c>
      <c r="AP9" s="43">
        <v>0</v>
      </c>
      <c r="AQ9" s="44" t="s">
        <v>61</v>
      </c>
    </row>
    <row r="10" spans="5:43" x14ac:dyDescent="0.2">
      <c r="AL10" s="102"/>
      <c r="AM10" s="102"/>
      <c r="AN10" s="102"/>
      <c r="AO10" s="103"/>
      <c r="AP10" s="43">
        <v>1</v>
      </c>
      <c r="AQ10" s="44" t="s">
        <v>62</v>
      </c>
    </row>
    <row r="11" spans="5:43" x14ac:dyDescent="0.2">
      <c r="AL11" s="103"/>
      <c r="AM11" s="103" t="s">
        <v>63</v>
      </c>
      <c r="AN11" s="103" t="s">
        <v>82</v>
      </c>
      <c r="AO11" s="104" t="s">
        <v>78</v>
      </c>
      <c r="AP11" s="41" t="s">
        <v>57</v>
      </c>
      <c r="AQ11" s="41" t="s">
        <v>56</v>
      </c>
    </row>
    <row r="12" spans="5:43" x14ac:dyDescent="0.2">
      <c r="AL12" s="103"/>
      <c r="AM12" s="103"/>
      <c r="AN12" s="103"/>
      <c r="AO12" s="103"/>
      <c r="AP12" s="44" t="s">
        <v>58</v>
      </c>
      <c r="AQ12" s="41" t="s">
        <v>4</v>
      </c>
    </row>
    <row r="13" spans="5:43" x14ac:dyDescent="0.2">
      <c r="AL13" s="103"/>
      <c r="AM13" s="103"/>
      <c r="AN13" s="103"/>
      <c r="AO13" s="103"/>
      <c r="AP13" s="44" t="s">
        <v>59</v>
      </c>
      <c r="AQ13" s="41" t="s">
        <v>5</v>
      </c>
    </row>
    <row r="14" spans="5:43" x14ac:dyDescent="0.2">
      <c r="AL14" s="103"/>
      <c r="AM14" s="103"/>
      <c r="AN14" s="103"/>
      <c r="AO14" s="103"/>
      <c r="AP14" s="44" t="s">
        <v>60</v>
      </c>
      <c r="AQ14" s="41" t="s">
        <v>129</v>
      </c>
    </row>
    <row r="15" spans="5:43" x14ac:dyDescent="0.2">
      <c r="AL15" s="103"/>
      <c r="AM15" s="102" t="s">
        <v>64</v>
      </c>
      <c r="AN15" s="102" t="s">
        <v>83</v>
      </c>
      <c r="AO15" s="104" t="s">
        <v>79</v>
      </c>
      <c r="AP15" s="43">
        <v>0</v>
      </c>
      <c r="AQ15" s="41" t="s">
        <v>56</v>
      </c>
    </row>
    <row r="16" spans="5:43" x14ac:dyDescent="0.2">
      <c r="AL16" s="103"/>
      <c r="AM16" s="102"/>
      <c r="AN16" s="103"/>
      <c r="AO16" s="103"/>
      <c r="AP16" s="43">
        <v>1</v>
      </c>
      <c r="AQ16" s="41" t="s">
        <v>3</v>
      </c>
    </row>
    <row r="17" spans="38:43" ht="28.5" x14ac:dyDescent="0.2">
      <c r="AL17" s="103"/>
      <c r="AM17" s="44" t="s">
        <v>0</v>
      </c>
      <c r="AN17" s="44" t="s">
        <v>84</v>
      </c>
      <c r="AO17" s="42" t="s">
        <v>127</v>
      </c>
      <c r="AP17" s="44"/>
      <c r="AQ17" s="44"/>
    </row>
    <row r="18" spans="38:43" ht="28.5" x14ac:dyDescent="0.2">
      <c r="AL18" s="103"/>
      <c r="AM18" s="44" t="s">
        <v>1</v>
      </c>
      <c r="AN18" s="44" t="s">
        <v>85</v>
      </c>
      <c r="AO18" s="42" t="s">
        <v>128</v>
      </c>
      <c r="AP18" s="44"/>
      <c r="AQ18" s="44"/>
    </row>
    <row r="19" spans="38:43" x14ac:dyDescent="0.2">
      <c r="AL19" s="103"/>
      <c r="AM19" s="49" t="s">
        <v>86</v>
      </c>
      <c r="AN19" s="49" t="s">
        <v>87</v>
      </c>
      <c r="AO19" s="50" t="s">
        <v>108</v>
      </c>
      <c r="AP19" s="49"/>
      <c r="AQ19" s="49"/>
    </row>
    <row r="20" spans="38:43" ht="30" customHeight="1" x14ac:dyDescent="0.2">
      <c r="AL20" s="106" t="s">
        <v>148</v>
      </c>
      <c r="AM20" s="45" t="s">
        <v>65</v>
      </c>
      <c r="AN20" s="45" t="s">
        <v>88</v>
      </c>
      <c r="AO20" s="46" t="s">
        <v>89</v>
      </c>
      <c r="AP20" s="47"/>
      <c r="AQ20" s="47"/>
    </row>
    <row r="21" spans="38:43" ht="28.5" x14ac:dyDescent="0.2">
      <c r="AL21" s="106"/>
      <c r="AM21" s="45" t="s">
        <v>67</v>
      </c>
      <c r="AN21" s="45" t="s">
        <v>95</v>
      </c>
      <c r="AO21" s="46" t="s">
        <v>91</v>
      </c>
      <c r="AP21" s="47"/>
      <c r="AQ21" s="47"/>
    </row>
    <row r="22" spans="38:43" ht="28.5" x14ac:dyDescent="0.2">
      <c r="AL22" s="108"/>
      <c r="AM22" s="45" t="s">
        <v>66</v>
      </c>
      <c r="AN22" s="45" t="s">
        <v>96</v>
      </c>
      <c r="AO22" s="46" t="s">
        <v>90</v>
      </c>
      <c r="AP22" s="47"/>
      <c r="AQ22" s="47"/>
    </row>
    <row r="23" spans="38:43" ht="28.5" x14ac:dyDescent="0.2">
      <c r="AL23" s="108"/>
      <c r="AM23" s="45" t="s">
        <v>70</v>
      </c>
      <c r="AN23" s="45" t="s">
        <v>97</v>
      </c>
      <c r="AO23" s="46" t="s">
        <v>92</v>
      </c>
      <c r="AP23" s="47"/>
      <c r="AQ23" s="47"/>
    </row>
    <row r="24" spans="38:43" ht="28.5" x14ac:dyDescent="0.2">
      <c r="AL24" s="108"/>
      <c r="AM24" s="45" t="s">
        <v>68</v>
      </c>
      <c r="AN24" s="45" t="s">
        <v>95</v>
      </c>
      <c r="AO24" s="46" t="s">
        <v>94</v>
      </c>
      <c r="AP24" s="47"/>
      <c r="AQ24" s="47"/>
    </row>
    <row r="25" spans="38:43" ht="28.5" x14ac:dyDescent="0.2">
      <c r="AL25" s="108"/>
      <c r="AM25" s="45" t="s">
        <v>69</v>
      </c>
      <c r="AN25" s="45" t="s">
        <v>96</v>
      </c>
      <c r="AO25" s="46" t="s">
        <v>93</v>
      </c>
      <c r="AP25" s="47"/>
      <c r="AQ25" s="47"/>
    </row>
    <row r="26" spans="38:43" x14ac:dyDescent="0.2">
      <c r="AL26" s="108"/>
      <c r="AM26" s="49" t="s">
        <v>86</v>
      </c>
      <c r="AN26" s="49" t="s">
        <v>98</v>
      </c>
      <c r="AO26" s="50" t="s">
        <v>108</v>
      </c>
      <c r="AP26" s="51"/>
      <c r="AQ26" s="51"/>
    </row>
    <row r="27" spans="38:43" ht="15" customHeight="1" x14ac:dyDescent="0.2">
      <c r="AL27" s="103" t="s">
        <v>149</v>
      </c>
      <c r="AM27" s="103" t="s">
        <v>71</v>
      </c>
      <c r="AN27" s="103" t="s">
        <v>113</v>
      </c>
      <c r="AO27" s="104" t="s">
        <v>102</v>
      </c>
      <c r="AP27" s="48" t="s">
        <v>57</v>
      </c>
      <c r="AQ27" s="48" t="s">
        <v>120</v>
      </c>
    </row>
    <row r="28" spans="38:43" x14ac:dyDescent="0.2">
      <c r="AL28" s="103"/>
      <c r="AM28" s="103"/>
      <c r="AN28" s="103"/>
      <c r="AO28" s="104"/>
      <c r="AP28" s="48" t="s">
        <v>58</v>
      </c>
      <c r="AQ28" s="48" t="s">
        <v>121</v>
      </c>
    </row>
    <row r="29" spans="38:43" x14ac:dyDescent="0.2">
      <c r="AL29" s="103"/>
      <c r="AM29" s="107"/>
      <c r="AN29" s="107"/>
      <c r="AO29" s="107"/>
      <c r="AP29" s="48" t="s">
        <v>59</v>
      </c>
      <c r="AQ29" s="48" t="s">
        <v>122</v>
      </c>
    </row>
    <row r="30" spans="38:43" x14ac:dyDescent="0.2">
      <c r="AL30" s="103"/>
      <c r="AM30" s="107"/>
      <c r="AN30" s="107"/>
      <c r="AO30" s="107"/>
      <c r="AP30" s="48" t="s">
        <v>60</v>
      </c>
      <c r="AQ30" s="48" t="s">
        <v>123</v>
      </c>
    </row>
    <row r="31" spans="38:43" x14ac:dyDescent="0.2">
      <c r="AL31" s="103"/>
      <c r="AM31" s="107"/>
      <c r="AN31" s="107"/>
      <c r="AO31" s="107"/>
      <c r="AP31" s="48" t="s">
        <v>114</v>
      </c>
      <c r="AQ31" s="48" t="s">
        <v>124</v>
      </c>
    </row>
    <row r="32" spans="38:43" ht="42.75" x14ac:dyDescent="0.2">
      <c r="AL32" s="103"/>
      <c r="AM32" s="44" t="s">
        <v>72</v>
      </c>
      <c r="AN32" s="44" t="s">
        <v>95</v>
      </c>
      <c r="AO32" s="42" t="s">
        <v>99</v>
      </c>
      <c r="AP32" s="48"/>
      <c r="AQ32" s="48"/>
    </row>
    <row r="33" spans="38:43" ht="15" customHeight="1" x14ac:dyDescent="0.2">
      <c r="AL33" s="103"/>
      <c r="AM33" s="103" t="s">
        <v>125</v>
      </c>
      <c r="AN33" s="103" t="s">
        <v>103</v>
      </c>
      <c r="AO33" s="104" t="s">
        <v>100</v>
      </c>
      <c r="AP33" s="48" t="s">
        <v>57</v>
      </c>
      <c r="AQ33" s="48" t="s">
        <v>115</v>
      </c>
    </row>
    <row r="34" spans="38:43" x14ac:dyDescent="0.2">
      <c r="AL34" s="103"/>
      <c r="AM34" s="103"/>
      <c r="AN34" s="103"/>
      <c r="AO34" s="104"/>
      <c r="AP34" s="48" t="s">
        <v>58</v>
      </c>
      <c r="AQ34" s="48" t="s">
        <v>116</v>
      </c>
    </row>
    <row r="35" spans="38:43" x14ac:dyDescent="0.2">
      <c r="AL35" s="103"/>
      <c r="AM35" s="107"/>
      <c r="AN35" s="107"/>
      <c r="AO35" s="107"/>
      <c r="AP35" s="48" t="s">
        <v>59</v>
      </c>
      <c r="AQ35" s="48" t="s">
        <v>117</v>
      </c>
    </row>
    <row r="36" spans="38:43" x14ac:dyDescent="0.2">
      <c r="AL36" s="103"/>
      <c r="AM36" s="107"/>
      <c r="AN36" s="107"/>
      <c r="AO36" s="107"/>
      <c r="AP36" s="48" t="s">
        <v>60</v>
      </c>
      <c r="AQ36" s="48" t="s">
        <v>118</v>
      </c>
    </row>
    <row r="37" spans="38:43" x14ac:dyDescent="0.2">
      <c r="AL37" s="103"/>
      <c r="AM37" s="107"/>
      <c r="AN37" s="107"/>
      <c r="AO37" s="107"/>
      <c r="AP37" s="48" t="s">
        <v>114</v>
      </c>
      <c r="AQ37" s="48" t="s">
        <v>119</v>
      </c>
    </row>
    <row r="38" spans="38:43" ht="42.75" x14ac:dyDescent="0.2">
      <c r="AL38" s="103"/>
      <c r="AM38" s="44" t="s">
        <v>73</v>
      </c>
      <c r="AN38" s="44" t="s">
        <v>104</v>
      </c>
      <c r="AO38" s="42" t="s">
        <v>101</v>
      </c>
      <c r="AP38" s="48"/>
      <c r="AQ38" s="48"/>
    </row>
    <row r="39" spans="38:43" x14ac:dyDescent="0.2">
      <c r="AL39" s="105"/>
      <c r="AM39" s="49" t="s">
        <v>86</v>
      </c>
      <c r="AN39" s="49" t="s">
        <v>107</v>
      </c>
      <c r="AO39" s="50" t="s">
        <v>108</v>
      </c>
      <c r="AP39" s="51"/>
      <c r="AQ39" s="51"/>
    </row>
    <row r="40" spans="38:43" x14ac:dyDescent="0.2">
      <c r="AL40" s="106" t="s">
        <v>150</v>
      </c>
      <c r="AM40" s="45" t="s">
        <v>110</v>
      </c>
      <c r="AN40" s="45" t="s">
        <v>105</v>
      </c>
      <c r="AO40" s="46" t="s">
        <v>106</v>
      </c>
      <c r="AP40" s="47"/>
      <c r="AQ40" s="47"/>
    </row>
    <row r="41" spans="38:43" x14ac:dyDescent="0.2">
      <c r="AL41" s="106"/>
      <c r="AM41" s="45" t="s">
        <v>109</v>
      </c>
      <c r="AN41" s="45" t="s">
        <v>111</v>
      </c>
      <c r="AO41" s="46" t="s">
        <v>112</v>
      </c>
      <c r="AP41" s="47"/>
      <c r="AQ41" s="47"/>
    </row>
    <row r="42" spans="38:43" x14ac:dyDescent="0.2">
      <c r="AL42" s="106"/>
      <c r="AM42" s="49" t="s">
        <v>86</v>
      </c>
      <c r="AN42" s="49" t="s">
        <v>87</v>
      </c>
      <c r="AO42" s="50" t="s">
        <v>108</v>
      </c>
      <c r="AP42" s="51"/>
      <c r="AQ42" s="51"/>
    </row>
  </sheetData>
  <mergeCells count="34">
    <mergeCell ref="AO9:AO10"/>
    <mergeCell ref="AO11:AO14"/>
    <mergeCell ref="AO15:AO16"/>
    <mergeCell ref="AN9:AN10"/>
    <mergeCell ref="AN11:AN14"/>
    <mergeCell ref="AN15:AN16"/>
    <mergeCell ref="AO27:AO31"/>
    <mergeCell ref="AN27:AN31"/>
    <mergeCell ref="AM33:AM37"/>
    <mergeCell ref="AN33:AN37"/>
    <mergeCell ref="AO33:AO37"/>
    <mergeCell ref="AL40:AL42"/>
    <mergeCell ref="AM27:AM31"/>
    <mergeCell ref="AM9:AM10"/>
    <mergeCell ref="AM11:AM14"/>
    <mergeCell ref="AM15:AM16"/>
    <mergeCell ref="AL9:AL19"/>
    <mergeCell ref="AL20:AL26"/>
    <mergeCell ref="AL27:AL39"/>
    <mergeCell ref="N4:Q4"/>
    <mergeCell ref="S6:AG6"/>
    <mergeCell ref="AA5:AD5"/>
    <mergeCell ref="J2:AG2"/>
    <mergeCell ref="X4:AA4"/>
    <mergeCell ref="X3:AC3"/>
    <mergeCell ref="R3:W3"/>
    <mergeCell ref="AE5:AG5"/>
    <mergeCell ref="T5:W5"/>
    <mergeCell ref="V4:W4"/>
    <mergeCell ref="R4:U4"/>
    <mergeCell ref="AE3:AF3"/>
    <mergeCell ref="AF4:AG4"/>
    <mergeCell ref="AB4:AE4"/>
    <mergeCell ref="X5:Z5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06DA9-8E53-4856-BF0F-E578B63A3EA8}">
  <dimension ref="E3:E8"/>
  <sheetViews>
    <sheetView topLeftCell="F1" zoomScale="70" zoomScaleNormal="70" workbookViewId="0">
      <selection activeCell="F44" sqref="F44"/>
    </sheetView>
  </sheetViews>
  <sheetFormatPr defaultRowHeight="14.25" x14ac:dyDescent="0.2"/>
  <cols>
    <col min="3" max="3" width="12.625" customWidth="1"/>
    <col min="4" max="4" width="10.75" customWidth="1"/>
    <col min="5" max="5" width="36.75" customWidth="1"/>
    <col min="6" max="6" width="255.375" customWidth="1"/>
    <col min="7" max="7" width="6.75" customWidth="1"/>
  </cols>
  <sheetData>
    <row r="3" spans="5:5" ht="51.75" customHeight="1" x14ac:dyDescent="0.2">
      <c r="E3" s="3"/>
    </row>
    <row r="4" spans="5:5" ht="15" x14ac:dyDescent="0.2">
      <c r="E4" s="3"/>
    </row>
    <row r="5" spans="5:5" ht="30" customHeight="1" x14ac:dyDescent="0.2"/>
    <row r="6" spans="5:5" ht="27" customHeight="1" x14ac:dyDescent="0.2"/>
    <row r="7" spans="5:5" ht="32.25" customHeight="1" x14ac:dyDescent="0.2"/>
    <row r="8" spans="5:5" ht="32.25" customHeight="1" x14ac:dyDescent="0.2"/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16</vt:i4>
      </vt:variant>
    </vt:vector>
  </HeadingPairs>
  <TitlesOfParts>
    <vt:vector size="22" baseType="lpstr">
      <vt:lpstr>General</vt:lpstr>
      <vt:lpstr>Status Reg</vt:lpstr>
      <vt:lpstr>Global config</vt:lpstr>
      <vt:lpstr>BIT_CONFIG</vt:lpstr>
      <vt:lpstr>CH_CFG</vt:lpstr>
      <vt:lpstr>configuration flow</vt:lpstr>
      <vt:lpstr>BIT_CONFIG!_Toc160693716</vt:lpstr>
      <vt:lpstr>CH_CFG!_Toc160693716</vt:lpstr>
      <vt:lpstr>'configuration flow'!_Toc160693716</vt:lpstr>
      <vt:lpstr>General!_Toc160693716</vt:lpstr>
      <vt:lpstr>'Global config'!_Toc160693716</vt:lpstr>
      <vt:lpstr>'Status Reg'!_Toc160693716</vt:lpstr>
      <vt:lpstr>BIT_CONFIG!_Toc160693717</vt:lpstr>
      <vt:lpstr>CH_CFG!_Toc160693717</vt:lpstr>
      <vt:lpstr>'configuration flow'!_Toc160693717</vt:lpstr>
      <vt:lpstr>General!_Toc160693717</vt:lpstr>
      <vt:lpstr>'Global config'!_Toc160693717</vt:lpstr>
      <vt:lpstr>'Status Reg'!_Toc160693717</vt:lpstr>
      <vt:lpstr>BIT_CONFIG!_Toc160693718</vt:lpstr>
      <vt:lpstr>CH_CFG!_Toc160693718</vt:lpstr>
      <vt:lpstr>General!_Toc160693718</vt:lpstr>
      <vt:lpstr>'configuration flow'!_Toc198116074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izkovsky</dc:creator>
  <cp:lastModifiedBy>Izkovsky Guy</cp:lastModifiedBy>
  <dcterms:created xsi:type="dcterms:W3CDTF">2015-06-05T18:17:20Z</dcterms:created>
  <dcterms:modified xsi:type="dcterms:W3CDTF">2025-06-30T06:52:37Z</dcterms:modified>
</cp:coreProperties>
</file>