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9"/>
  <workbookPr/>
  <mc:AlternateContent xmlns:mc="http://schemas.openxmlformats.org/markup-compatibility/2006">
    <mc:Choice Requires="x15">
      <x15ac:absPath xmlns:x15ac="http://schemas.microsoft.com/office/spreadsheetml/2010/11/ac" url="C:\work\02_Prj\MOFC\00_doc\IDD\"/>
    </mc:Choice>
  </mc:AlternateContent>
  <xr:revisionPtr revIDLastSave="0" documentId="13_ncr:1_{C945F8B1-049E-4E8E-AD06-FA0672990A02}" xr6:coauthVersionLast="47" xr6:coauthVersionMax="47" xr10:uidLastSave="{00000000-0000-0000-0000-000000000000}"/>
  <bookViews>
    <workbookView xWindow="-9600" yWindow="-21720" windowWidth="38640" windowHeight="21240" activeTab="1" xr2:uid="{00000000-000D-0000-FFFF-FFFF00000000}"/>
  </bookViews>
  <sheets>
    <sheet name="Version-control" sheetId="17" r:id="rId1"/>
    <sheet name="Debug" sheetId="20" r:id="rId2"/>
    <sheet name="ICD" sheetId="19"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2">ICD!#REF!</definedName>
    <definedName name="_Toc160693716" localSheetId="4">'Status Reg'!$E$4</definedName>
    <definedName name="_Toc160693716" localSheetId="0">'Version-control'!#REF!</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2">ICD!#REF!</definedName>
    <definedName name="_Toc160693717" localSheetId="4">'Status Reg'!$E$3</definedName>
    <definedName name="_Toc160693717" localSheetId="0">'Version-control'!#REF!</definedName>
    <definedName name="_Toc160693718" localSheetId="7">BIT_CONFIG!$AI$6</definedName>
    <definedName name="_Toc160693718" localSheetId="8">CH_CFG!$AI$10</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General!$AI$43</definedName>
    <definedName name="_Toc160693718" localSheetId="6">'Global config'!#REF!</definedName>
    <definedName name="_Toc160693718" localSheetId="2">ICD!#REF!</definedName>
    <definedName name="_Toc160693718" localSheetId="4">'Status Reg'!#REF!</definedName>
    <definedName name="_Toc160693718" localSheetId="0">'Version-control'!#REF!</definedName>
    <definedName name="_Toc198116074" localSheetId="10">'Checksum-verification'!#REF!</definedName>
    <definedName name="_Toc198116074" localSheetId="9">'configuration flow'!$F$3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4" i="2" l="1"/>
  <c r="I45" i="2"/>
  <c r="I46" i="2"/>
  <c r="I47" i="2"/>
  <c r="I48" i="2"/>
  <c r="I49" i="2"/>
  <c r="I50" i="2"/>
  <c r="I51" i="2"/>
  <c r="I52" i="2"/>
  <c r="I53" i="2"/>
  <c r="I54" i="2"/>
  <c r="I55" i="2"/>
  <c r="I56" i="2"/>
  <c r="I57" i="2"/>
  <c r="I58" i="2"/>
  <c r="I59" i="2"/>
  <c r="I60" i="2"/>
  <c r="I43" i="2"/>
  <c r="G6" i="20"/>
  <c r="G28" i="20"/>
  <c r="G33" i="20" l="1"/>
  <c r="G22" i="20"/>
  <c r="G21" i="20"/>
  <c r="G20" i="20"/>
  <c r="G19" i="20"/>
  <c r="G18" i="20"/>
  <c r="G17" i="20"/>
  <c r="G16" i="20"/>
  <c r="G15" i="20"/>
  <c r="G14" i="20"/>
  <c r="G13" i="20"/>
  <c r="G12" i="20"/>
  <c r="G11" i="20"/>
  <c r="G60" i="20"/>
  <c r="G56" i="20"/>
  <c r="G37" i="20"/>
  <c r="I3" i="18"/>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<sst xmlns="http://schemas.openxmlformats.org/spreadsheetml/2006/main" count="860" uniqueCount="407">
  <si>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</si>
  <si>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</si>
  <si>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</si>
  <si>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</si>
  <si>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</si>
  <si>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</si>
  <si>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</si>
  <si>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</si>
  <si>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</si>
  <si>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</si>
  <si>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</si>
  <si>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</si>
  <si>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</si>
  <si>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</si>
  <si>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</si>
  <si>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</si>
  <si>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</si>
  <si>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</si>
  <si>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</si>
  <si>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</si>
  <si>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</si>
  <si>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</si>
  <si>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</si>
  <si>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</si>
  <si>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</si>
  <si>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</si>
  <si>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</si>
  <si>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</si>
  <si>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</si>
  <si>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</si>
  <si>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</si>
  <si>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</si>
  <si>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</si>
  <si>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</si>
  <si>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</si>
  <si>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</si>
  <si>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</si>
  <si>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</si>
  <si>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</si>
  <si>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</si>
  <si>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</si>
  <si>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</si>
  <si>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</si>
  <si>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</si>
  <si>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</si>
  <si>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</si>
  <si>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</si>
  <si>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</si>
  <si>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</si>
  <si>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</si>
  <si>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</si>
  <si>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</si>
  <si>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</si>
  <si>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</si>
  <si>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</si>
  <si>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</si>
  <si>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</si>
  <si>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</si>
  <si>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</si>
  <si>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</si>
  <si>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</si>
  <si>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</si>
  <si>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</si>
  <si>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</si>
  <si>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</si>
  <si>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</si>
  <si>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</si>
  <si>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</si>
  <si>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</si>
  <si>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</si>
  <si>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</si>
  <si>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</si>
  <si>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</si>
  <si>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</si>
  <si>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</si>
  <si>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</si>
  <si>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</si>
  <si>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</si>
  <si>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</si>
  <si>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</si>
  <si>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</si>
  <si>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</si>
  <si>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</si>
  <si>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</si>
  <si>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</si>
  <si>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</si>
  <si>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</si>
  <si>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</si>
  <si>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</si>
  <si>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</si>
  <si>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</si>
  <si>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</si>
  <si>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</si>
  <si>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</si>
  <si>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</si>
  <si>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</si>
  <si>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</si>
  <si>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</si>
  <si>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</si>
  <si>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</si>
  <si>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</si>
  <si>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</si>
  <si>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</si>
  <si>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</si>
  <si>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</si>
  <si>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</si>
  <si>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</si>
  <si>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</si>
  <si>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</si>
  <si>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</si>
  <si>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</si>
  <si>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</si>
  <si>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</si>
  <si>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</si>
  <si>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</si>
  <si>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</si>
  <si>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</si>
  <si>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</si>
  <si>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</si>
  <si>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</si>
  <si>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</si>
  <si>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</si>
  <si>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</si>
  <si>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</si>
  <si>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</si>
  <si>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</si>
  <si>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</si>
  <si>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</si>
  <si>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</si>
  <si>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</si>
  <si>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</si>
  <si>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</si>
  <si>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</si>
  <si>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</si>
  <si>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</si>
  <si>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</si>
  <si>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</si>
  <si>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</si>
  <si>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</si>
  <si>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</si>
  <si>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</si>
  <si>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</si>
  <si>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</si>
  <si>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</si>
  <si>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</si>
  <si>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</si>
  <si>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</si>
  <si>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맑은 고딕"/>
        <family val="2"/>
        <scheme val="minor"/>
      </rPr>
      <t>Single Channel Mode (0x0)</t>
    </r>
    <r>
      <rPr>
        <sz val="11"/>
        <color theme="1"/>
        <rFont val="맑은 고딕"/>
        <family val="2"/>
        <scheme val="minor"/>
      </rPr>
      <t xml:space="preserve">: Each of the eight channels is individually configured by the master.
</t>
    </r>
    <r>
      <rPr>
        <b/>
        <sz val="11"/>
        <color theme="1"/>
        <rFont val="맑은 고딕"/>
        <family val="2"/>
        <scheme val="minor"/>
      </rPr>
      <t>Common Quad Mode (0x1)</t>
    </r>
    <r>
      <rPr>
        <sz val="11"/>
        <color theme="1"/>
        <rFont val="맑은 고딕"/>
        <family val="2"/>
        <scheme val="minor"/>
      </rPr>
      <t xml:space="preserve">: The master fills configurations for channels 1 and 2. Channel 1’s configuration is used for channels 2, 3, and 4, and channel 2’s configuration is used for channels 6, 7, and 8.
</t>
    </r>
    <r>
      <rPr>
        <b/>
        <sz val="11"/>
        <color theme="1"/>
        <rFont val="맑은 고딕"/>
        <family val="2"/>
        <scheme val="minor"/>
      </rPr>
      <t>Common Octal Mode (0x2)</t>
    </r>
    <r>
      <rPr>
        <sz val="11"/>
        <color theme="1"/>
        <rFont val="맑은 고딕"/>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</si>
  <si>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</si>
  <si>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</si>
  <si>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</si>
  <si>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</si>
  <si>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</si>
  <si>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</si>
  <si>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</si>
  <si>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</si>
  <si>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</si>
  <si>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</si>
  <si>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</si>
  <si>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</si>
  <si>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</si>
  <si>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</si>
  <si>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</si>
  <si>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맑은 고딕"/>
        <family val="2"/>
        <scheme val="minor"/>
      </rPr>
      <t>Output Power (dBm) = -30 - Register_Value</t>
    </r>
    <r>
      <rPr>
        <sz val="11"/>
        <color theme="1"/>
        <rFont val="맑은 고딕"/>
        <family val="2"/>
        <scheme val="minor"/>
      </rPr>
      <t xml:space="preserve">
</t>
    </r>
  </si>
  <si>
    <t xml:space="preserve">INTERNAL / EXTRENAL BIT
</t>
  </si>
  <si>
    <r>
      <t xml:space="preserve">Sets the local oscillator (LO) frequency 
LSB = 50 MHz per step
</t>
    </r>
    <r>
      <rPr>
        <b/>
        <i/>
        <sz val="11"/>
        <color theme="1"/>
        <rFont val="맑은 고딕"/>
        <family val="2"/>
        <scheme val="minor"/>
      </rPr>
      <t>BIT LO Frequency (MHz) = 10000 + (Register_Value × 50)</t>
    </r>
    <r>
      <rPr>
        <sz val="11"/>
        <color theme="1"/>
        <rFont val="맑은 고딕"/>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</si>
  <si>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</si>
  <si>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</si>
  <si>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</si>
  <si>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</si>
  <si>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</si>
  <si>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</si>
  <si>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</si>
  <si>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</si>
  <si>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</si>
  <si>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</si>
  <si>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</si>
  <si>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</si>
  <si>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</si>
  <si>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</si>
  <si>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</si>
  <si>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</si>
  <si>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</si>
  <si>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</si>
  <si>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</si>
  <si>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</si>
  <si>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</si>
  <si>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</si>
  <si>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</si>
  <si>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</si>
  <si>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</si>
  <si>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</si>
  <si>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</si>
  <si>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</si>
  <si>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</si>
  <si>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</si>
  <si>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</si>
  <si>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</si>
  <si>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</si>
  <si>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</si>
  <si>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</si>
  <si>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</si>
  <si>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</si>
  <si>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</si>
  <si>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</si>
  <si>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</si>
  <si>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</si>
  <si>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</si>
  <si>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</si>
  <si>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</si>
  <si>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</si>
  <si>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</si>
  <si>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</si>
  <si>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</si>
  <si>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</si>
  <si>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</si>
  <si>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</si>
  <si>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</si>
  <si>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</si>
  <si>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</si>
  <si>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</si>
  <si>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</si>
  <si>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</si>
  <si>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</si>
  <si>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</si>
  <si>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</si>
  <si>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</si>
  <si>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</si>
  <si>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</si>
  <si>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</si>
  <si>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</si>
  <si>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</si>
  <si>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</si>
  <si>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</si>
  <si>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</si>
  <si>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</si>
  <si>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</si>
  <si>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</si>
  <si>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</si>
  <si>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</si>
  <si>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</si>
  <si>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</si>
  <si>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</si>
  <si>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</si>
  <si>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</si>
  <si>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</si>
  <si>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</si>
  <si>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</si>
  <si>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</si>
  <si>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</si>
  <si>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</si>
  <si>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</si>
  <si>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</si>
  <si>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</si>
  <si>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</si>
  <si>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</si>
  <si>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</si>
  <si>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</si>
  <si>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</si>
  <si>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</si>
  <si>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</si>
  <si>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</si>
  <si>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</si>
  <si>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</si>
  <si>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</si>
  <si>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</si>
  <si>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</si>
  <si>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</si>
  <si>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</si>
  <si>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</si>
  <si>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</si>
  <si>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</si>
  <si>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</si>
  <si>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</si>
  <si>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</si>
  <si>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</si>
  <si>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</si>
  <si>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</si>
  <si>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</si>
  <si>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</si>
  <si>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</si>
  <si>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</si>
  <si>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</si>
  <si>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</si>
  <si>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</si>
  <si>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</si>
  <si>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</si>
  <si>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</si>
  <si>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</si>
  <si>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</si>
  <si>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</si>
  <si>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</si>
  <si>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</si>
  <si>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</si>
  <si>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</si>
  <si>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</si>
  <si>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</si>
  <si>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</si>
  <si>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</si>
  <si>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</si>
  <si>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</si>
  <si>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</si>
  <si>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</si>
  <si>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</si>
  <si>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</si>
  <si>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</si>
  <si>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</si>
  <si>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</si>
  <si>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</si>
  <si>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</si>
  <si>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</si>
  <si>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</si>
  <si>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</si>
  <si>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</si>
  <si>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</si>
  <si>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 xml:space="preserve">
Register value range:500(500[mhz])  to 18000(18000[mhz])</t>
  </si>
  <si>
    <r>
      <t xml:space="preserve">Sets the local oscillator (LO) frequency for the bit output
LSB = 1 MHz per step
</t>
    </r>
    <r>
      <rPr>
        <b/>
        <i/>
        <sz val="11"/>
        <color theme="1"/>
        <rFont val="맑은 고딕"/>
        <family val="2"/>
        <scheme val="minor"/>
      </rPr>
      <t>BIT LO Frequency (MHz) = Register_Value [Mhz]</t>
    </r>
    <r>
      <rPr>
        <sz val="11"/>
        <color theme="1"/>
        <rFont val="맑은 고딕"/>
        <family val="2"/>
        <scheme val="minor"/>
      </rPr>
      <t xml:space="preserve">
Frequency range: 500 MHz to 18,000 MHz</t>
    </r>
  </si>
  <si>
    <t>[14:0]</t>
  </si>
  <si>
    <t>[23]</t>
  </si>
  <si>
    <t>[22]</t>
  </si>
  <si>
    <t>[15]</t>
  </si>
  <si>
    <t>Version1.5</t>
  </si>
  <si>
    <t>BIT_CFG_TAB -&gt; filed BIT_LO_FREQ changed from 10 bits to 15 bits, according to requirement fo 1[Mhz] step</t>
  </si>
  <si>
    <t>F</t>
    <phoneticPr fontId="14" type="noConversion"/>
  </si>
  <si>
    <t>Write</t>
    <phoneticPr fontId="14" type="noConversion"/>
  </si>
  <si>
    <t>WO</t>
    <phoneticPr fontId="14" type="noConversion"/>
  </si>
  <si>
    <t>RO</t>
    <phoneticPr fontId="14" type="noConversion"/>
  </si>
  <si>
    <t>29</t>
    <phoneticPr fontId="14" type="noConversion"/>
  </si>
  <si>
    <t>28</t>
    <phoneticPr fontId="14" type="noConversion"/>
  </si>
  <si>
    <t>27</t>
    <phoneticPr fontId="14" type="noConversion"/>
  </si>
  <si>
    <t>26</t>
    <phoneticPr fontId="14" type="noConversion"/>
  </si>
  <si>
    <t>25</t>
    <phoneticPr fontId="14" type="noConversion"/>
  </si>
  <si>
    <t>24</t>
    <phoneticPr fontId="14" type="noConversion"/>
  </si>
  <si>
    <t>Write Flash Length</t>
    <phoneticPr fontId="14" type="noConversion"/>
  </si>
  <si>
    <t>Reserved</t>
    <phoneticPr fontId="14" type="noConversion"/>
  </si>
  <si>
    <t>Flash Data 2-1</t>
    <phoneticPr fontId="14" type="noConversion"/>
  </si>
  <si>
    <t>Flash Data 2-2</t>
    <phoneticPr fontId="14" type="noConversion"/>
  </si>
  <si>
    <t>Flash Data 2-3</t>
    <phoneticPr fontId="14" type="noConversion"/>
  </si>
  <si>
    <t>Flash Data 3-1</t>
    <phoneticPr fontId="14" type="noConversion"/>
  </si>
  <si>
    <t>Flash Data 3-2</t>
    <phoneticPr fontId="14" type="noConversion"/>
  </si>
  <si>
    <t>Flash Data 3-3</t>
    <phoneticPr fontId="14" type="noConversion"/>
  </si>
  <si>
    <t>…</t>
    <phoneticPr fontId="14" type="noConversion"/>
  </si>
  <si>
    <t>Read</t>
    <phoneticPr fontId="14" type="noConversion"/>
  </si>
  <si>
    <t>Write addr</t>
    <phoneticPr fontId="14" type="noConversion"/>
  </si>
  <si>
    <t>Read addr</t>
    <phoneticPr fontId="14" type="noConversion"/>
  </si>
  <si>
    <t>Read Flash Start Address</t>
    <phoneticPr fontId="14" type="noConversion"/>
  </si>
  <si>
    <t>Read Flash Length</t>
    <phoneticPr fontId="14" type="noConversion"/>
  </si>
  <si>
    <t>One
Freq Step Data</t>
    <phoneticPr fontId="14" type="noConversion"/>
  </si>
  <si>
    <t>BIT Step 400Mhz - 18500Mhz, 1Mhz Step
18100, Sector 1131(0 - 1130)</t>
    <phoneticPr fontId="14" type="noConversion"/>
  </si>
  <si>
    <t>LO Step 10000Mhz - 16750Mhz, 50Mhz Step
136 x 8(LO1~8),Sector 72
Sector Addr - LO1 - 0x500~0x508(ADDR_H)
                   LO2 - 0x600~0x608(ADDR_H)
….
                   LO8 - 0xC00~0xC08(ADDR_H)</t>
    <phoneticPr fontId="14" type="noConversion"/>
  </si>
  <si>
    <t>SERIAL_NUMBER</t>
    <phoneticPr fontId="14" type="noConversion"/>
  </si>
  <si>
    <t>Write Flash Start Address
(BIT) ADDR_H 0x000 - ADDR_L 0x000 to  ADDR_H 0x000 - ADDR_L 0x01D</t>
    <phoneticPr fontId="14" type="noConversion"/>
  </si>
  <si>
    <t>One
Sector
Data</t>
    <phoneticPr fontId="14" type="noConversion"/>
  </si>
  <si>
    <t>Write Flash Sqeunce</t>
    <phoneticPr fontId="14" type="noConversion"/>
  </si>
  <si>
    <t>Read Flash Sqeunce</t>
    <phoneticPr fontId="14" type="noConversion"/>
  </si>
  <si>
    <t>BIT</t>
    <phoneticPr fontId="14" type="noConversion"/>
  </si>
  <si>
    <t>LO</t>
    <phoneticPr fontId="14" type="noConversion"/>
  </si>
  <si>
    <t>Serial Numer</t>
    <phoneticPr fontId="14" type="noConversion"/>
  </si>
  <si>
    <r>
      <t xml:space="preserve">Sirial Data Sequence
Write Flash Length = Dec 1
</t>
    </r>
    <r>
      <rPr>
        <b/>
        <sz val="11"/>
        <color rgb="FF0000FF"/>
        <rFont val="맑은 고딕"/>
        <family val="3"/>
        <charset val="129"/>
        <scheme val="minor"/>
      </rPr>
      <t>Address 0xF00_000 to 0xF00_002</t>
    </r>
    <r>
      <rPr>
        <sz val="11"/>
        <color theme="1"/>
        <rFont val="맑은 고딕"/>
        <family val="2"/>
        <scheme val="minor"/>
      </rPr>
      <t xml:space="preserve">
0xF00_000 Data Serial Number[7:0]
0xF00_001 Data Serial Number[15:8]
0xF00_002 Data Serial Number[19:16]  </t>
    </r>
    <phoneticPr fontId="14" type="noConversion"/>
  </si>
  <si>
    <t>Direct PLL Reg Setting</t>
    <phoneticPr fontId="14" type="noConversion"/>
  </si>
  <si>
    <t>Reg Address</t>
    <phoneticPr fontId="14" type="noConversion"/>
  </si>
  <si>
    <t>Reg Data</t>
    <phoneticPr fontId="14" type="noConversion"/>
  </si>
  <si>
    <t>Fixed LO Direct</t>
    <phoneticPr fontId="14" type="noConversion"/>
  </si>
  <si>
    <t>BIT Direct</t>
    <phoneticPr fontId="14" type="noConversion"/>
  </si>
  <si>
    <t>Test1 Drect</t>
    <phoneticPr fontId="14" type="noConversion"/>
  </si>
  <si>
    <t>LO1 Direct</t>
    <phoneticPr fontId="14" type="noConversion"/>
  </si>
  <si>
    <t>LO12 Direct</t>
    <phoneticPr fontId="14" type="noConversion"/>
  </si>
  <si>
    <t>LO3 Direct</t>
    <phoneticPr fontId="14" type="noConversion"/>
  </si>
  <si>
    <t>LO4 Direct</t>
    <phoneticPr fontId="14" type="noConversion"/>
  </si>
  <si>
    <t>Test2 Direct</t>
    <phoneticPr fontId="14" type="noConversion"/>
  </si>
  <si>
    <t>LO5 Direct</t>
    <phoneticPr fontId="14" type="noConversion"/>
  </si>
  <si>
    <t>LO6 Direct</t>
    <phoneticPr fontId="14" type="noConversion"/>
  </si>
  <si>
    <t>LO7 Direct</t>
    <phoneticPr fontId="14" type="noConversion"/>
  </si>
  <si>
    <t>LO8 Direct</t>
    <phoneticPr fontId="14" type="noConversion"/>
  </si>
  <si>
    <r>
      <t xml:space="preserve">BIT Step 400Mhz - 18500Mhz, 1Mhz Step
</t>
    </r>
    <r>
      <rPr>
        <b/>
        <sz val="11"/>
        <color rgb="FF0000FF"/>
        <rFont val="맑은 고딕"/>
        <family val="3"/>
        <charset val="129"/>
        <scheme val="minor"/>
      </rPr>
      <t>Address 0x000_000 to 0x46A_01D</t>
    </r>
    <r>
      <rPr>
        <sz val="11"/>
        <color theme="1"/>
        <rFont val="맑은 고딕"/>
        <family val="2"/>
        <scheme val="minor"/>
      </rPr>
      <t xml:space="preserve">
1 Sector -&gt; 16 Step
1 Step -&gt; 14Byte
543,000Byte
ex)
400Mhz -&gt; 0x000_000 to 0x000_01D
401Mhz -&gt; 0x000_100 to 0x000_11D
402Mhz -&gt; 0x000_200 to 0x000_21D
…..............
415Mhz -&gt; 0x000_F00 to 0x000_F1D
416Mhz -&gt; 0x001_000 to 0x001_01D
................
18500Mhz -&gt; 0x46A_F00 to 0x46A_F1D</t>
    </r>
    <phoneticPr fontId="14" type="noConversion"/>
  </si>
  <si>
    <r>
      <t xml:space="preserve">LO Step 10000Mhz - 16750Mhz 50Mhz Step
</t>
    </r>
    <r>
      <rPr>
        <b/>
        <sz val="11"/>
        <color rgb="FF0000FF"/>
        <rFont val="맑은 고딕"/>
        <family val="3"/>
        <charset val="129"/>
        <scheme val="minor"/>
      </rPr>
      <t>Address 0x500_000 to 0xC08_01D</t>
    </r>
    <r>
      <rPr>
        <sz val="11"/>
        <color theme="1"/>
        <rFont val="맑은 고딕"/>
        <family val="2"/>
        <scheme val="minor"/>
      </rPr>
      <t xml:space="preserve">
1 Sector -&gt; 16 Step
1 Step -&gt; 14Byte
ex)
LO_1 10000Mhz -&gt; 0x500_000 to 0x500_01D
LO_1 10050Mhz -&gt; 0x500_100 to 0x500_11D
…....................
LO_1 10800Mhz -&gt; 0x501_000 to 0x501_01D
LO_1 10850Mhz -&gt; 0x501_100 to 0x501_11D
.......................
LO_1 16700Mhz -&gt; 0x508_E00 to 0x508_E1D
LO_1 16750Mhz -&gt; 0x508_F00 to 0x508_F1D
.......................
LO_2 10000Mhz -&gt; 0x600_000 to 0x600_01D
LO_2 10050Mhz -&gt; 0x600_100 to 0x600_11D
.......................
LO_8 16700Mhz -&gt; 0xC08_E00 to 0xC08_E1D
LO_8 16750Mhz -&gt; 0xC08_F00 to 0xC08_F1D</t>
    </r>
    <phoneticPr fontId="14" type="noConversion"/>
  </si>
  <si>
    <t>Flash Data 13-3</t>
    <phoneticPr fontId="14" type="noConversion"/>
  </si>
  <si>
    <t>Flash Data 14-3</t>
    <phoneticPr fontId="14" type="noConversion"/>
  </si>
  <si>
    <t>Flash Data 13-2</t>
    <phoneticPr fontId="14" type="noConversion"/>
  </si>
  <si>
    <t>Flash Data 13-1</t>
    <phoneticPr fontId="14" type="noConversion"/>
  </si>
  <si>
    <t>Flash Data 14-1</t>
    <phoneticPr fontId="14" type="noConversion"/>
  </si>
  <si>
    <t>Flash Data 14-2</t>
    <phoneticPr fontId="14" type="noConversion"/>
  </si>
  <si>
    <t>Write Flash Conig</t>
    <phoneticPr fontId="14" type="noConversion"/>
  </si>
  <si>
    <t>R/W</t>
    <phoneticPr fontId="14" type="noConversion"/>
  </si>
  <si>
    <t>Read Config</t>
    <phoneticPr fontId="14" type="noConversion"/>
  </si>
  <si>
    <t>Writ Rdy
0 = Stay
1 = Rdy</t>
    <phoneticPr fontId="14" type="noConversion"/>
  </si>
  <si>
    <t>Flash Data 1-3(23to16)</t>
    <phoneticPr fontId="14" type="noConversion"/>
  </si>
  <si>
    <t>Flash Data 1-2(15to8)</t>
    <phoneticPr fontId="14" type="noConversion"/>
  </si>
  <si>
    <t>Flash Data 1-1(7to0)</t>
    <phoneticPr fontId="14" type="noConversion"/>
  </si>
  <si>
    <t>Flash Data 176-3</t>
    <phoneticPr fontId="14" type="noConversion"/>
  </si>
  <si>
    <t>Flash Data 176-2</t>
    <phoneticPr fontId="14" type="noConversion"/>
  </si>
  <si>
    <t>Flash Data 176-1</t>
    <phoneticPr fontId="14" type="noConversion"/>
  </si>
  <si>
    <t>Flash Data 177-1</t>
    <phoneticPr fontId="14" type="noConversion"/>
  </si>
  <si>
    <t>Flash Data 177-2</t>
    <phoneticPr fontId="14" type="noConversion"/>
  </si>
  <si>
    <t>Flash Data 177-3</t>
    <phoneticPr fontId="14" type="noConversion"/>
  </si>
  <si>
    <t>LMX2595 PLL Set Data
Registers that must be changed for each set frequency
x Flash divided into 16 steps in one sector 
+ Start Address Register
( 11 x 16 ) + 1 = 177
If the registers that need to be changed increase or decrease,
Adjust Write Flash Length
Length is set to 1 per packet in 32-bit data units</t>
    <phoneticPr fontId="14" type="noConversion"/>
  </si>
  <si>
    <t>SirialNum Flash Sqeunce</t>
    <phoneticPr fontId="14" type="noConversion"/>
  </si>
  <si>
    <t>Sirial Number</t>
    <phoneticPr fontId="14" type="noConversion"/>
  </si>
  <si>
    <t>Debug Direct Set</t>
    <phoneticPr fontId="14" type="noConversion"/>
  </si>
  <si>
    <t>Debug Diirect</t>
    <phoneticPr fontId="14" type="noConversion"/>
  </si>
  <si>
    <t>Debug</t>
    <phoneticPr fontId="14" type="noConversion"/>
  </si>
  <si>
    <t>SerialNum</t>
    <phoneticPr fontId="14" type="noConversion"/>
  </si>
  <si>
    <t>Write Flash</t>
    <phoneticPr fontId="14" type="noConversion"/>
  </si>
  <si>
    <t>Read Flash</t>
    <phoneticPr fontId="14" type="noConversion"/>
  </si>
  <si>
    <r>
      <t>Write Flash Sqeunce(</t>
    </r>
    <r>
      <rPr>
        <b/>
        <sz val="10"/>
        <color rgb="FFFF0000"/>
        <rFont val="맑은 고딕"/>
        <family val="3"/>
        <charset val="129"/>
        <scheme val="minor"/>
      </rPr>
      <t xml:space="preserve"> Please Check Debug Sheet)</t>
    </r>
    <phoneticPr fontId="14" type="noConversion"/>
  </si>
  <si>
    <r>
      <t>Read Flash Sqeunce(</t>
    </r>
    <r>
      <rPr>
        <b/>
        <sz val="10"/>
        <color rgb="FFFF0000"/>
        <rFont val="맑은 고딕"/>
        <family val="3"/>
        <charset val="129"/>
        <scheme val="minor"/>
      </rPr>
      <t xml:space="preserve"> Please Check Debug Sheet)</t>
    </r>
    <phoneticPr fontId="14" type="noConversion"/>
  </si>
  <si>
    <t>Debug Direct</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</si>
</sst>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scheme val="minor"/>
    </font>
    <font>
      <sz val="11"/>
      <color theme="1"/>
      <name val="맑은 고딕"/>
      <family val="2"/>
      <scheme val="minor"/>
    </font>
    <font>
      <sz val="11"/>
      <color rgb="FF006100"/>
      <name val="맑은 고딕"/>
      <family val="2"/>
      <scheme val="minor"/>
    </font>
    <font>
      <sz val="11"/>
      <color rgb="FF9C5700"/>
      <name val="맑은 고딕"/>
      <family val="2"/>
      <scheme val="minor"/>
    </font>
    <font>
      <b/>
      <sz val="11"/>
      <color theme="1"/>
      <name val="Arial"/>
      <family val="2"/>
    </font>
    <font>
      <sz val="10"/>
      <color theme="1"/>
      <name val="맑은 고딕"/>
      <family val="2"/>
      <scheme val="minor"/>
    </font>
    <font>
      <b/>
      <sz val="10"/>
      <color theme="1"/>
      <name val="맑은 고딕"/>
      <family val="2"/>
      <scheme val="minor"/>
    </font>
    <font>
      <b/>
      <sz val="11"/>
      <color theme="1"/>
      <name val="맑은 고딕"/>
      <family val="2"/>
      <scheme val="minor"/>
    </font>
    <font>
      <b/>
      <i/>
      <sz val="11"/>
      <color theme="1"/>
      <name val="맑은 고딕"/>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
      <sz val="8"/>
      <name val="맑은 고딕"/>
      <family val="3"/>
      <charset val="129"/>
      <scheme val="minor"/>
    </font>
    <font>
      <b/>
      <sz val="36"/>
      <color theme="1"/>
      <name val="맑은 고딕"/>
      <family val="3"/>
      <charset val="129"/>
      <scheme val="minor"/>
    </font>
    <font>
      <b/>
      <sz val="18"/>
      <color theme="1"/>
      <name val="맑은 고딕"/>
      <family val="3"/>
      <charset val="129"/>
      <scheme val="minor"/>
    </font>
    <font>
      <b/>
      <sz val="11"/>
      <color rgb="FF0000FF"/>
      <name val="맑은 고딕"/>
      <family val="3"/>
      <charset val="129"/>
      <scheme val="minor"/>
    </font>
    <font>
      <sz val="11"/>
      <color rgb="FFFF0000"/>
      <name val="맑은 고딕"/>
      <family val="2"/>
      <scheme val="minor"/>
    </font>
    <font>
      <sz val="11"/>
      <color rgb="FFFF0000"/>
      <name val="맑은 고딕"/>
      <family val="3"/>
      <charset val="129"/>
      <scheme val="minor"/>
    </font>
    <font>
      <sz val="6"/>
      <color theme="1"/>
      <name val="맑은 고딕"/>
      <family val="2"/>
      <scheme val="minor"/>
    </font>
    <font>
      <b/>
      <sz val="10"/>
      <color rgb="FFFF0000"/>
      <name val="맑은 고딕"/>
      <family val="3"/>
      <charset val="129"/>
      <scheme val="minor"/>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36">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0" borderId="3" xfId="0" applyBorder="1"/>
    <xf numFmtId="0" fontId="0" fillId="0" borderId="40" xfId="0" applyBorder="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1" fontId="5" fillId="0" borderId="3" xfId="0" applyNumberFormat="1" applyFont="1" applyBorder="1" applyAlignment="1">
      <alignment vertical="center"/>
    </xf>
    <xf numFmtId="0" fontId="5" fillId="0" borderId="1" xfId="0" applyFont="1" applyBorder="1" applyAlignment="1">
      <alignment horizontal="center" vertical="center" wrapText="1"/>
    </xf>
    <xf numFmtId="0" fontId="1" fillId="4" borderId="22" xfId="2" applyFont="1" applyBorder="1" applyAlignment="1">
      <alignment horizontal="center" vertical="center"/>
    </xf>
    <xf numFmtId="2" fontId="0" fillId="4" borderId="22" xfId="2" applyNumberFormat="1" applyFont="1" applyBorder="1" applyAlignment="1">
      <alignment horizontal="center" vertical="center"/>
    </xf>
    <xf numFmtId="49" fontId="1" fillId="4" borderId="22" xfId="2" applyNumberFormat="1" applyFont="1"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xf>
    <xf numFmtId="0" fontId="0" fillId="0" borderId="44" xfId="0" applyBorder="1" applyAlignment="1">
      <alignment vertical="center"/>
    </xf>
    <xf numFmtId="0" fontId="0" fillId="0" borderId="40" xfId="0" applyBorder="1" applyAlignment="1">
      <alignment vertical="center"/>
    </xf>
    <xf numFmtId="0" fontId="0" fillId="0" borderId="1" xfId="0" applyBorder="1"/>
    <xf numFmtId="0" fontId="0" fillId="0" borderId="6" xfId="0" applyBorder="1"/>
    <xf numFmtId="0" fontId="0" fillId="0" borderId="23" xfId="0" applyBorder="1"/>
    <xf numFmtId="0" fontId="16" fillId="0" borderId="50" xfId="0" applyFont="1" applyBorder="1" applyAlignment="1">
      <alignment horizontal="center" vertical="center"/>
    </xf>
    <xf numFmtId="0" fontId="16" fillId="0" borderId="51" xfId="0" applyFont="1" applyBorder="1" applyAlignment="1">
      <alignment horizontal="center" vertical="center"/>
    </xf>
    <xf numFmtId="0" fontId="16" fillId="0" borderId="41" xfId="0" applyFont="1" applyBorder="1" applyAlignment="1">
      <alignment horizontal="center" vertical="center"/>
    </xf>
    <xf numFmtId="0" fontId="2" fillId="3" borderId="2" xfId="1" applyBorder="1" applyAlignment="1">
      <alignment horizontal="center" vertical="center"/>
    </xf>
    <xf numFmtId="0" fontId="2" fillId="3" borderId="4" xfId="1" applyBorder="1" applyAlignment="1">
      <alignment horizontal="center" vertical="center"/>
    </xf>
    <xf numFmtId="0" fontId="2" fillId="3" borderId="3" xfId="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0" fillId="0" borderId="44" xfId="0" applyBorder="1" applyAlignment="1">
      <alignment horizontal="left" vertical="top" wrapText="1"/>
    </xf>
    <xf numFmtId="0" fontId="0" fillId="0" borderId="52" xfId="0" applyBorder="1" applyAlignment="1">
      <alignment horizontal="left" vertical="top" wrapText="1"/>
    </xf>
    <xf numFmtId="0" fontId="0" fillId="0" borderId="42" xfId="0" applyBorder="1" applyAlignment="1">
      <alignment horizontal="left" vertical="top" wrapText="1"/>
    </xf>
    <xf numFmtId="0" fontId="0" fillId="0" borderId="52" xfId="0" applyBorder="1" applyAlignment="1">
      <alignment horizontal="left" vertical="top"/>
    </xf>
    <xf numFmtId="0" fontId="0" fillId="0" borderId="42" xfId="0"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center"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0" fillId="0" borderId="6"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0" fillId="0" borderId="24" xfId="0" applyBorder="1" applyAlignment="1">
      <alignment horizontal="center" vertical="center" wrapText="1"/>
    </xf>
    <xf numFmtId="0" fontId="0" fillId="0" borderId="48"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49" xfId="0" applyBorder="1" applyAlignment="1">
      <alignment horizontal="center" vertical="center" wrapText="1"/>
    </xf>
    <xf numFmtId="0" fontId="0" fillId="0" borderId="27" xfId="0"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23"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 fillId="3" borderId="1" xfId="1" applyBorder="1" applyAlignment="1">
      <alignment horizontal="center" vertical="center"/>
    </xf>
    <xf numFmtId="0" fontId="5" fillId="0" borderId="1" xfId="0" applyFont="1" applyBorder="1" applyAlignment="1">
      <alignment horizontal="center" vertical="center"/>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9" xfId="0" applyFont="1" applyFill="1" applyBorder="1" applyAlignment="1">
      <alignment horizontal="center" vertical="center" wrapText="1"/>
    </xf>
    <xf numFmtId="0" fontId="4" fillId="12" borderId="37"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49" fontId="0" fillId="10" borderId="1" xfId="0" applyNumberFormat="1" applyFill="1" applyBorder="1" applyAlignment="1">
      <alignment horizontal="center" vertical="center"/>
    </xf>
    <xf numFmtId="0" fontId="0" fillId="9" borderId="1" xfId="0" applyFill="1" applyBorder="1"/>
    <xf numFmtId="0" fontId="0" fillId="10" borderId="1" xfId="0" applyFill="1" applyBorder="1" applyAlignment="1">
      <alignment horizontal="center" vertical="center"/>
    </xf>
    <xf numFmtId="0" fontId="0" fillId="13" borderId="1" xfId="0" applyFill="1" applyBorder="1"/>
    <xf numFmtId="0" fontId="0" fillId="0" borderId="0" xfId="0" applyAlignment="1">
      <alignment wrapText="1"/>
    </xf>
    <xf numFmtId="0" fontId="0" fillId="0" borderId="0" xfId="0"/>
    <xf numFmtId="46" fontId="1" fillId="4" borderId="22" xfId="2" applyNumberFormat="1" applyFont="1" applyBorder="1" applyAlignment="1">
      <alignment horizontal="center" vertical="center"/>
    </xf>
    <xf numFmtId="0" fontId="18" fillId="0" borderId="50" xfId="0" applyFont="1" applyBorder="1" applyAlignment="1">
      <alignment horizontal="center" vertical="center"/>
    </xf>
    <xf numFmtId="0" fontId="19" fillId="0" borderId="51" xfId="0" applyFont="1" applyBorder="1" applyAlignment="1">
      <alignment horizontal="center" vertical="center"/>
    </xf>
    <xf numFmtId="0" fontId="19" fillId="0" borderId="41" xfId="0" applyFont="1" applyBorder="1" applyAlignment="1">
      <alignment horizontal="center" vertical="center"/>
    </xf>
    <xf numFmtId="49" fontId="0" fillId="0" borderId="1" xfId="0" applyNumberFormat="1" applyBorder="1"/>
    <xf numFmtId="0" fontId="20" fillId="0" borderId="1" xfId="0" applyFont="1" applyBorder="1" applyAlignment="1">
      <alignment horizontal="center" vertical="center" wrapText="1"/>
    </xf>
  </cellXfs>
  <cellStyles count="3">
    <cellStyle name="보통" xfId="2" builtinId="28"/>
    <cellStyle name="좋음" xfId="1" builtinId="26"/>
    <cellStyle name="표준" xfId="0" builtinId="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 Id="rId8" Type="http://schemas.openxmlformats.org/officeDocument/2006/relationships/customXml" Target="../ink/ink7.xml"/></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18</xdr:row>
      <xdr:rowOff>40822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22</xdr:row>
      <xdr:rowOff>63499</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18</xdr:row>
      <xdr:rowOff>108857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22269,'468'10303'0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354 602 24575,'320'0'0,"-909"0"0,588 0 0,-8 0 0,-1 0 0,1-1 0,0 0 0,-17-5 0,25 6 0,0 0 0,0-1 0,0 1 0,0 0 0,0-2 0,0 2 0,0-1 0,0 1 0,0-1 0,0 0 0,1 1 0,-1-2 0,0 2 0,0-1 0,0 1 0,1-1 0,-1 0 0,0 0 0,1-1 0,-1 1 0,1 0 0,-1 0 0,1 0 0,0-1 0,-1 1 0,1 0 0,0 0 0,0 1 0,-1-1 0,1-2 0,0 2 0,0 0 0,0 0 0,1-1 0,-1 1 0,0 0 0,0 0 0,0 0 0,1-1 0,-1 2 0,1-1 0,-1 0 0,1 0 0,-1 0 0,1-1 0,-1 1 0,1 0 0,0 0 0,0 0 0,-1 1 0,2-3 0,275-450 0,-224 363 0,-67 129 0,-23 48 0,-4 7 0,20-36 0,-45 126 0,58-155 0,1-1 0,1 1 0,1 0 0,-3 44 0,8-69 0,-1 0 0,1-2 0,0 0 0,0 1 0,0 0 0,1 1 0,-1-2 0,1 2 0,-1-3 0,1 3 0,0-2 0,0 2 0,0-2 0,0 1 0,0-1 0,1 0 0,-1 1 0,1-1 0,-1 2 0,1-3 0,0 0 0,0 2 0,0-1 0,0 1 0,0-2 0,0 1 0,0-1 0,1 1 0,-1-1 0,1-1 0,-1 1 0,0 0 0,1 0 0,0 1 0,-1-2 0,1 1 0,-1-1 0,4 0 0,11 0 0,0-1 0,0-1 0,0-1 0,-1 0 0,18-6 0,2 0 0,92-8-1365,-94 15-5461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23159 1 24575,'-7'50'0,"-20"2"0,-7-2 0,-147 89 0,-371 143 0,486-248 0,-1750 691 0,263-117 0,-2036 1165 0,2768-1320 0,-610 395 0,-1233 772 0,2396-1495 0,-35-2 0,-477 138 0,-195 78 0,855-283 0,19 1 0,-75 72 0,-72 43 0,-901 412 0,974-499 0,-229 181 0,0 3 0,157-153 0,-675 348 0,149-93 0,142-78 0,429-180 0,67-37 0,-248 96 0,369-169 0,7 3 0,-13-1 0,7-1 0,-1 0 0,-6 0 0,0 1 0,0 0 0,0-2 0,0 1 0,-7 0 0,0 0 0,7-1 0,-41 3 0,48-5 0,-1-1 0,1 2 0,-1-2 0,1 0 0,-1 1 0,-6-1 0,6 0 0,1 0 0,-1 0 0,1-1 0,-1 1 0,1 0 0,1-2 0,-2 1 0,1 1 0,-1-1 0,1 0 0,-1 0 0,1 0 0,-1 1 0,7-2 0,-6 1 0,-1-1 0,8 1 0,-8-2 0,7 2 0,-6-1 0,6 0 0,0 0 0,1 0 0,-15-3 0,-39-10 0,12-1 0,2 1 0,-1 0 0,13-2 0,-5 1 0,12 0 0,-27-26 0,20 17 0,-6 3 0,-108-46 0,94 47 0,41 15 0,-7-1 0,6 0 0,-6 1 0,0-1 0,-1 0 0,-6 3 0,7-2 0,-6-1 0,-8 2 0,7-1 0,-6 2 0,6-1 0,-68-7 0,89 11 0,-8 1 0,7 0 0,1 0 0,-1 0 0,0 0 0,0 0 0,1 0 0,-8 0 0,7 0 0,1 0 0,-1 1 0,0-1 0,0 0 0,2 2 0,-2-2 0,0 1 0,0-1 0,1 1 0,-1 0 0,0-1 0,0 1 0,1 0 0,-1 1 0,7-1 0,-7-1 0,0 1 0,1 0 0,6-1 0,-7 1 0,7 0 0,-7 1 0,7-1 0,-7 0 0,7 1 0,0-1 0,-6 1 0,6-1 0,0 0 0,0 0 0,0 4 0,-54 54 0,54-56 0,-7 7 0,7-1 0,0 2 0,0-2 0,7 1 0,-1 0 0,8 0 0,-1-1 0,1 0 0,6 2 0,0-4 0,7 3 0,0-2 0,-1 2 0,55 10 0,-47-13 0,0 0 0,6-2 0,1 1 0,-1 0 0,1 0 0,5-1 0,1-2 0,0 2 0,1-1 0,-1 1 0,7-3 0,-7 1 0,6 0 0,1 0 0,0-2 0,80 2 0,-21-2-76,-5 1 1,7-4-1,-1 1 0,-6-1 0,6-2 0,-7 1 0,1-1 0,0-1 1,-1-1-1,-6-1 0,7 0 0,-13-3 0,5 2 0,-6-2 1,1 0-1,-9 0 0,103-16 0,-41 4-6750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530 1 24575,'1'557'0,"-2"605"0,-7-476-1,-6-5 9,-1 23-132,-21 936-463,10-564 587,1-296 150,-6-7 150,-10 286-46,14-418-254,8-182 0,-29 642 0,45-1037 0,-1 0 0,0-4 0,-1 1 0,-11 109 0,-27 194 0,39-335 0,0 2 0,0-4 0,-1 1 0,1-3 0,-1-2 0,0 0 0,0-2 0,0-2 0,-5 14 0,3-22 0,1-2 0,-1-3 0,0-2 0,0-1 0,2-3 0,-10-8 0,-1 5 0,10-1 0,1 3 0,0 1 0,-5 5 0,9-5 0,0 1 0,0 0 0,0 0 0,0 0 0,0 1 0,1 0 0,-1-1 0,0 3 0,1-1 0,-1 0 0,0 0 0,0 1 0,1-1 0,-1 1 0,0 2 0,0-3 0,0 12 0,0-12 0,1 2 0,0 0 0,0-2 0,0 1 0,-1 0 0,1 0 0,0 2 0,0-3 0,0 2 0,0 0 0,0 0 0,0-2 0,0 3 0,0-2 0,1-1 0,-1 3 0,0-2 0,0-1 0,0 3 0,0-2 0,1-1 0,-1 1 0,1-1 0,-1 1 0,1 4 0,0 7 0,1-4 0,0 1 0,-1 1 0,0-1 0,3 12 0,-2-15 0,8 36 0,-9-42 0,0-1 0,-1-1 0,1 2 0,0-2 0,-1 0 0,1 1 0,0 0 0,-1-2 0,0 1 0,1-1 0,0 0 0,-1 0 0,2 0 0,-2-1 0,1-1 0,-1 2 0,0-2 0,0 1 0,1 0 0,-1 0 0,0-1 0,0 1 0,0 0 0,0 0 0,1 0 0,-1-1 0,0 0 0,0 1 0,0-2 0,0 2 0,1 0 0,-1-1 0,0 1 0,0-1 0,0-1 0,0 3 0,0-3 0,0 2 0,0-1 0,0 1 0,0-2 0,0 1 0,0 0 0,0 0 0,0-2 0,-2-67 0,2 67 0,-6-123 0,5 102 0,-1 0 0,1 0 0,-1-3 0,2 3 0,-1-2 0,0 0 0,0-1 0,1-36 0,0 60 7,0-4-1,0 2 0,0-1 0,1 3 1,-1-3-1,0 2 0,1-1 1,-1 0-1,1 1 0,-1-1 1,0 2-1,1-2 0,0 2 0,-1-1 1,1-1-1,-1 3 0,1-1 1,1-6-1,0-1-303,0 0 0,0 3 0,1-2 0,4-7 0,-1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24575,'-4'6'0,"1"-1"0,-2 2 0,2-2 0,2 1 0,-2 1 0,0-1 0,1 0 0,1 1 0,-1 0 0,1-1 0,1 1 0,-2 1 0,2-2 0,0 12 0,-1 4 0,-2 25 0,1-1 0,4 1 0,-1-1 0,4 1 0,1-1 0,1 1 0,4-4 0,-1 3 0,5-3 0,0 1 0,0-2 0,38 66 0,-14-38 0,3-1 0,3-3 0,2-1 0,2-2 0,4-5 0,3 0 0,-1-3 0,5-4 0,88 60 0,-25-32 0,3-5 0,268 108 0,296 33 0,83-64-361,9-52-60,-244-33 515,1821 316-94,-738-105-223,-188-6-964,-208-34 1177,-937-191-248,282 55 15,-445-72 556,-2 8 1,185 80-1,689 340 1356,-86-11-1669,-661-278 0,-86-51 0,487 290 0,-525-333 0,-67-42 0,-2 3 0,78 64 0,97 70 0,-158-121 0,126 111 0,-185-141 0,0-1 0,-2 2 0,25 36 0,-23-30 0,31 38 0,190 201 0,-215-240 0,-1 2 0,0 2 0,-2-1 0,-2 2 0,1 0 0,13 40 0,-11-23 0,1-1 0,43 67 0,44 92 0,-86-163 0,-14-21 0,1-1 0,-1 1 0,4 21 0,-7-25 0,1 2 0,1-2 0,-2-1 0,4 2 0,11 23 0,22 29 0,-3 2 0,41 108 0,-64-133 0,17 73 0,-8-29 0,-12-39 0,-3-2 0,6 83 0,-4-39 0,7 130 0,-14 330 0,-7-291 0,3 454 0,-1-682 0,-2 3 0,-11 49 0,8-54 0,1 1 0,1 0 0,1 34 0,3-65 0,0 0 0,0 2 0,0-2 0,0 2 0,1-2 0,-1 2 0,0-2 0,2 0 0,-2-1 0,1 2 0,-1 0 0,3 0 0,-3-1 0,2 0 0,-1 1 0,1-1 0,0 0 0,2 3 0,-2-4 0,-1-1 0,1 1 0,-1-1 0,1 2 0,-1-2 0,1 1 0,-1-1 0,1 0 0,1 0 0,-3 0 0,3 0 0,-2 0 0,1 0 0,-1 0 0,1-1 0,-1 1 0,1-2 0,-1 2 0,1-1 0,-1 1 0,1-1 0,-1 0 0,1 0 0,-1 0 0,1-1 0,-1 1 0,-1 0 0,3 0 0,-1-2 0,20-20 0,-1-4 0,0 1 0,-1-1 0,-2-2 0,18-37 0,9-13 0,-30 55 0,3-8 0,2 2 0,37-45 0,-57 76 0,0 1 0,0-2 0,0 1 0,0-1 0,0 0 0,0 0 0,0 1 0,0-1 0,0 1 0,0-1 0,0 1 0,0-1 0,0 1 0,0-1 0,0 2 0,1-2 0,-1 1 0,0-1 0,0 1 0,0-1 0,0 1 0,0-1 0,0 0 0,2 0 0,-2 0 0,1 1 0,-1-1 0,0 2 0,0-2 0,0 0 0,2 0 0,-2 1 0,1-1 0,-1 0 0,0 0 0,0 1 0,2-1 0,-2 0 0,1 0 0,-1 0 0,0 0 0,0 0 0,2 0 0,-2 0 0,1 0 0,-1 0 0,0 0 0,2 0 0,-2 0 0,1 0 0,-1-1 0,0 1 0,0 0 0,2 0 0,-2 0 0,1-1 0,-1 1 0,0 0 0,0-2 0,0 2 0,2 0 0,-2-1 0,0 1 0,1 0 0,-1 0 0,0 0 0,0-1 0,0 1 0,0-1 0,-3 47 0,-6-22 0,-1-1 0,-1 0 0,-1-1 0,-1 0 0,1-1 0,-3-1 0,0 0 0,-2 0 0,-21 18 0,8-9 0,0-5 0,-1 2 0,-1-2 0,-69 33 0,88-50 0,1-1 0,-2 0 0,1-1 0,-2-1 0,1-1 0,-1-1 0,2 0 0,-20 1 0,25-3 0,1-1 0,-1-1 0,1 1 0,-1-1 0,1 1 0,-1-2 0,2 1 0,-1-1 0,-1-1 0,2 1 0,0-2 0,0 1 0,0 0 0,-2-1 0,2-1 0,2 1 0,-10-11 0,-28-44 0,3-1 0,-42-87 0,24 40 0,27 56-1365,4 9-5461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22269,'9303'10626'0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48938 0 24475,'-48938'2870'0,"49198"-2759"0,-520-222 0,504-27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10254 0 24575,'-4'0'0,"2"1"0,0-1 0,0 0 0,-1 1 0,1 1 0,-1-2 0,0 1 0,1 0 0,0 0 0,-1 1 0,2-1 0,-6 4 0,-10 5 0,-95 44 0,-159 48 0,-124 18 0,349-108 0,-629 146 0,496-131 0,-329 6 0,-1620-42 0,1863 9 0,-309-1 0,201-41 0,146 12 0,-105-15 0,155 17 0,-183-3 0,267 31 0,59 1 0,-1-1 0,0-1 0,1-1 0,-1-2 0,0-2 0,-63-20 0,49 10 0,-92-19 0,3 3 0,-28-10 0,-74-25 0,211 59 0,1 0 0,0 3 0,-2-2 0,-49 1 0,-127 8 0,85 2 0,-1245-4 0,1353 0 0,2 0 0,-1 2 0,1-1 0,-1 0 0,3 2 0,-3 0 0,1 0 0,-1 1 0,2 0 0,-2 1 0,2-1 0,-18 15 0,22-13 0,-2 0 0,1 1 0,0 2 0,0-2 0,0 1 0,1 0 0,1 1 0,0 1 0,0-3 0,1 3 0,-1 0 0,2 1 0,-1-4 0,-2 23 0,5-21 0,0-3 0,0 1 0,0 2 0,1-3 0,0 3 0,0-3 0,1 1 0,-1 0 0,1 1 0,1-1 0,3 13 0,1-6 0,0-3 0,1-2 0,-1 4 0,2-2 0,14 15 0,-22-26 0,0 1 0,1-1 0,-1 0 0,0 0 0,2 1 0,-2-1 0,0 0 0,0 1 0,0-1 0,1 0 0,-1 0 0,0 2 0,0-2 0,0 0 0,0 1 0,0-1 0,0 1 0,1-1 0,-1 0 0,0 1 0,0-1 0,0 0 0,0 2 0,0-2 0,0 0 0,-1 1 0,1-1 0,0 0 0,0 0 0,0 0 0,0 1 0,0-1 0,0 0 0,-1 0 0,1 1 0,0 1 0,-19 2 0,-30-2 0,42-2 0,-39 0 0,24 1 0,0-1 0,-1-1 0,0-2 0,1 1 0,-27-8 0,44 9 0,0-2 0,0 1 0,0-1 0,0 1 0,0-1 0,0 0 0,1-1 0,-1 2 0,2-2 0,-1 1 0,1 0 0,-2-2 0,2 1 0,-1-1 0,2 0 0,-1 0 0,0 0 0,0 2 0,1-2 0,0 0 0,0-1 0,0 1 0,1-1 0,0 1 0,-1 0 0,1-13 0,-1-30 0,3-1 0,7-58 0,-3 336 0,-4-223 0,0 2 0,0-2 0,1 1 0,1-2 0,-1 1 0,0 0 0,2 1 0,-2-1 0,2 0 0,-1-1 0,2 0 0,-3 0 0,3 1 0,-1-1 0,1 0 0,1 0 0,-2-3 0,2 3 0,0-3 0,-2 2 0,2 0 0,8 2 0,13 6 0,1-1 0,1-1 0,43 9 0,-70-18 0,80 9 0,-67-9 0,1 0 0,0 2 0,-2 1 0,2-1 0,26 10 0,-42-13 0,0 0 0,0 0 0,2 0 0,-2 0 0,0 0 0,0 0 0,1 0 0,-1 0 0,0 0 0,0 0 0,0 0 0,1 1 0,-1-1 0,0 0 0,0 0 0,0 0 0,1 0 0,-1 0 0,0 0 0,0 1 0,0-1 0,0 0 0,1 0 0,-1 0 0,0 0 0,0 1 0,0-1 0,0 0 0,0 0 0,0 0 0,0 1 0,1-1 0,-1 0 0,0 0 0,0 0 0,0 2 0,0-2 0,0 0 0,0 0 0,0 1 0,0-1 0,0 0 0,0 0 0,0 0 0,0 1 0,-1-1 0,1 0 0,0 0 0,0 1 0,0-1 0,0 0 0,0 0 0,0 2 0,-19 4 0,-26-1 0,26-4 0,-1 0 0,0-2 0,1 0 0,0 1 0,1-4 0,-2 0 0,-28-9 0,42 10 0,1 1 0,-1-2 0,0 2 0,2-1 0,-2 0 0,1-1 0,1 0 0,-1 0 0,0-1 0,1 1 0,-1-1 0,2 1 0,-1-1 0,1 0 0,0-1 0,0 1 0,0-1 0,0 2 0,1-2 0,0-1 0,1 0 0,-1 1 0,1 1 0,0 0 0,1-2 0,0 1 0,-1-2 0,2-5 0,2-20 0,1 1 0,2 1 0,2-1 0,16-45 0,-10 34 0,12-65 0,-25 102 0,4-28 0,-3 26 0,-1 14 0,-3 196 0,3 76 0,-1-274 0,1 1 0,-1 0 0,2 0 0,-1-1 0,1 1 0,-1-1 0,2 0 0,-1 0 0,0 1 0,0-1 0,1 0 0,0-1 0,-1 1 0,2-1 0,-1 1 0,4 3 0,1-2 0,0 1 0,0-1 0,1 2 0,-2-3 0,3 0 0,13 7 0,46 5 0,-45-13 0,-68-12 0,-1-1 0,2-1 0,-1-4 0,-57-25 0,96 39 0,1-2 0,0 1 0,0 0 0,1 0 0,0 1 0,-1-2 0,1-1 0,-1 2 0,1-2 0,0 1 0,-1 1 0,2-1 0,-1-1 0,0-1 0,2 1 0,-2 1 0,2-1 0,-3-6 0,3 4 0,-1-1 0,2 0 0,0 1 0,0-1 0,2 2 0,-2-2 0,1 0 0,0 0 0,1 1 0,-1 1 0,2-1 0,1-8 0,15-33 0,-4-1 0,-1 0 0,-3-2 0,-1 0 0,4-69 0,-16 548 0,3-419 0,0-1 0,0 1 0,1-1 0,1 1 0,-1-2 0,8 18 0,-10-24 0,2-1 0,-1 1 0,-1-1 0,1-1 0,0 2 0,0-1 0,0 0 0,-1 0 0,1 1 0,1-2 0,-1 1 0,0 0 0,0 0 0,1-1 0,-1 2 0,1-1 0,-1-1 0,0 1 0,1-1 0,-1 1 0,2-1 0,-1-1 0,-1 1 0,2 0 0,-1-1 0,-1 1 0,1-1 0,1-1 0,-2 2 0,1-1 0,-1 0 0,1 0 0,0-1 0,-1 1 0,1 0 0,-1 0 0,0-1 0,0 1 0,2 0 0,-1-4 0,98-132 0,14-14 0,-85 116-1365,-3 3-5461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20137 0 24396,'-20136'5297'0,"20407"-5241"0,-542-112 0,478-123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27914 875 24575,'-3'42'0,"0"-1"0,-3 1 0,-24 75 0,-60 117 0,53-146 0,-42 117 0,-65 149 0,89-239 0,-73 115 0,27-85 0,-9-7 0,-167 168 0,192-222 0,-4-2 0,-4-4 0,-5-4 0,-3-3 0,-153 84 0,58-53 0,-4-6 0,-380 133 0,-62-49 0,438-125 0,-361 82 0,388-96 0,-209 41 0,-255 67 0,281-63 0,30-8 0,53-13 0,110-28 0,-460 95 0,-52 13 0,-693 182 0,993-222 0,-54 12 0,-143 15 0,520-117 0,0 3 0,-63 27 0,-21 6 0,6-11 0,0-5 0,-235 32 0,-285-6 0,617-59 0,-1-2 0,1 0 0,0-2 0,-1-2 0,1-1 0,1 0 0,0-2 0,-1-3 0,1 0 0,1-1 0,1-1 0,0-2 0,2 0 0,0-4 0,-35-20 0,13 2 0,-4 2 0,-1 4 0,-1 1 0,-111-40 0,-13 16 0,-317-58 0,401 90 0,-984-146-3,679 112-118,-1395-261-464,1680 294 550,-229-56 407,-393-132 0,45 8-372,335 101 0,-274-60 0,40 12 0,-784-284 0,1278 396 0,-23-6 0,3-5 0,-137-72 0,177 69 0,3-5 0,5 0 0,-91-88 0,55 48 0,-25-20 0,-9-2 0,9-6 0,-122-138 0,186 177 0,-7 4 0,-176-141 0,59 62 0,83 65 0,-176-113 0,199 160 0,-163-70 0,-20-8 0,196 89 0,1 5 0,-150-46 0,96 36 0,-76-33 0,85 29 0,-158-41 0,252 79 0,-1 0 0,2 0 0,0-3 0,1 1 0,0-2 0,1-1 0,-26-17 0,-9-14 0,-65-59 0,107 89 0,-19-15 0,-74-45 0,26 21 0,44 27 0,30 22 0,0-2 0,1 0 0,-1 0 0,1 0 0,0-1 0,0 0 0,1 0 0,-11-15 0,3-3 0,1-2 0,-10-28 0,-14-28 0,33 77 0,-1-2 0,0 1 0,0 0 0,0 0 0,-1 1 0,-1 0 0,1 0 0,0 1 0,-1 0 0,-1-1 0,1 2 0,-16-7 0,-5-1 0,1 2 0,-55-12 0,79 21 0,2 0 0,0 1 0,-1-2 0,0 2 0,0-1 0,0 1 0,0 0 0,1 0 0,-2 0 0,2 0 0,-2 0 0,2 0 0,-1 1 0,0-1 0,0 2 0,1-2 0,-2 1 0,2 0 0,-1 0 0,1 0 0,0 0 0,-1 1 0,1-1 0,-1 1 0,1-1 0,0 0 0,-1 2 0,2-1 0,-1-1 0,0 0 0,0 2 0,1-2 0,0 1 0,-1 0 0,1 1 0,0-1 0,0 0 0,0 1 0,1-1 0,-2 0 0,1 4 0,-1 12 0,-1 0 0,2 0 0,0-1 0,5 31 0,-3-24 0,4 17 0,1 1 0,3 1 0,2-1 0,24 54 0,-21-73 0,-14-23 0,2 0 0,-2 0 0,1-1 0,-1 1 0,0 0 0,1 0 0,-1 0 0,0 0 0,0-1 0,1 1 0,-1 0 0,0 0 0,0-1 0,1 1 0,-1 0 0,0 0 0,0-1 0,2 1 0,-2 0 0,0-2 0,0 2 0,0 0 0,0-1 0,0 1 0,0 0 0,0 0 0,0 0 0,0 0 0,0-1 0,0 1 0,0 0 0,0-1 0,0 1 0,-2-53 0,-10-7 0,3 22 0,0 1 0,5-2 0,-1 1 0,4 0 0,4-51 0,-2 85 0,1-1 0,-1 0 0,0 1 0,1 0 0,0 0 0,0-1 0,0 0 0,2 2 0,-2-2 0,2 2 0,-2-2 0,2 1 0,0 2 0,0-1 0,0-1 0,8-4 0,-4 3 0,1 1 0,-1-1 0,2 2 0,0 0 0,-2 1 0,2 0 0,-1-1 0,19-1 0,-5 1 0,-1 2 0,0 0 0,1 2 0,0 0 0,-1 2 0,1-1 0,38 11 0,-48-11 20,-1 3 0,0-2 0,0 3 0,0-1 0,13 6 0,-21-8-98,0-1 0,-1 1 0,0 0-1,0-1 1,0 2 0,0-2 0,0 1 0,-1 1 0,1-1-1,-1 1 1,0-2 0,0 2 0,0-1 0,-1 1 0,0-1-1,1 1 1,-1 0 0,0 6 0,-1 17-6748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43249 6543 24575,'-81'-186'0,"-124"-219"0,151 314 0,-2 5 0,-4 3 0,-2 2 0,-92-89 0,-19 8 0,-6 14 0,-5 6 0,-287-163 0,-635-256 0,-651-99 0,920 453-706,-4 46-256,141 30 192,-612-139-1197,-622-122 1801,-2 53-36,1566 282 31,-1016-163-548,11-74 342,279 28 794,-247-69 693,181 43 3299,1028 257-4357,-249-22 0,-221-26-52,-61 16 0,-2 62 0,-216-8 0,130-58 0,452 24 0,-106-13 0,-695 14 0,978 44 0,-2064-10 0,1271 14 0,-3628-2 0,4226 30 0,150-11 0,-259 63 0,184-28 0,185-41 0,1 2 0,3 4 0,-65 33 0,-152 99 0,184-101 0,-18 7 0,-202 73 0,-122-1 0,349-106 0,-107 29 0,0-10 0,-4-10 0,-311 8 0,-2745-51 0,2658 47 0,497-21 0,-1 3 0,1 9 0,3 1 0,-113 56 0,-327 224 0,20 37 0,429-288 0,2-1 0,-1 6 0,4 5 0,-111 123 0,162-155 0,2 0 0,0 4 0,2-1 0,3 0 0,0 3 0,-24 78 0,18-53 0,8-20 0,2-5 0,-3-3 0,-30 62 0,-202 364 0,234-430 0,-1-1 0,3 3 0,2-2 0,0 3 0,-7 42 0,-7 113 0,22-157 0,0-1 0,-1 2 0,-2-2 0,-1 2 0,-2-5 0,0 2 0,-2-1 0,-15 34 0,-10 17 0,35-78 0,-1-1 0,1 0 0,0 1 0,0 0 0,0-1 0,1 1 0,-1-1 0,1 0 0,0 2 0,0-2 0,1 1 0,-1 0 0,1-2 0,-1 3 0,1-1 0,3 6 0,-3-10 0,0 0 0,0 0 0,0 1 0,1 0 0,-2-1 0,1 0 0,1 0 0,-1 2 0,0-3 0,1 1 0,-1 0 0,0-1 0,1 1 0,-1-1 0,1 2 0,-1-2 0,1 0 0,-1 0 0,0 0 0,2 0 0,-2 0 0,0 0 0,2 0 0,-2 0 0,0 0 0,1 0 0,-1 0 0,1 0 0,-1 0 0,1-2 0,-1 2 0,0-1 0,1 1 0,0-1 0,-1 0 0,0 1 0,0-3 0,1 2 0,0-1 0,53-50 0,-55 52 0,122-126 0,-122 126 0,1 0 0,-1-2 0,2 2 0,-2 0 0,1-1 0,-1 1 0,1-1 0,-1 1 0,1-2 0,-1 2 0,0-2 0,1 2 0,-1-1 0,0 1 0,0-1 0,1 0 0,-1 1 0,0-3 0,0 3 0,0-1 0,0 0 0,0 1 0,0-1 0,0 1 0,0-1 0,0-2 0,0 3 0,0 0 0,0 0 0,0-1 0,0 0 0,-21-11 0,-34 10 0,35 5 51,0 3-1,1 0 1,1 0-1,-28 16 1,24-12-64,0 0 1,0-2-1,-40 9 1,56-16-63,0-1 0,1 1 1,-1-1-1,2 0 0,-2-1 1,0 1-1,1-1 0,-1 1 1,2-1-1,-2-2 0,1 1 1,0 0-1,0-2 1,0 2-1,0-2 0,0 2 1,1-2-1,0 1 0,0-2 1,-8-8-1,-7-15-6751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1427 2 24575,'-56'-1'0,"5"1"0,1 0 0,-1 2 0,-65 9 0,102-9 0,-1 0 0,1 2 0,0-1 0,0 1 0,2 0 0,-2 0 0,1 1 0,1 1 0,0-1 0,-1 2 0,3-1 0,-1 2 0,0-1 0,0 0 0,2 1 0,-8 8 0,-10 16 0,2-1 0,2 1 0,2 2 0,-19 45 0,-46 149 0,70-178 0,-15 45 0,5 2 0,7 1 0,-2 148 0,26-81 0,-9 232 0,3-388 0,-2-2 0,1 2 0,-1 0 0,-1 0 0,-1-1 0,0 0 0,1 0 0,-2-1 0,0 1 0,-1-2 0,0 2 0,-1-1 0,0 0 0,1 0 0,-2-2 0,-1 2 0,1-3 0,-2 1 0,1 1 0,0-2 0,-23 8 0,9-3 0,-1-1 0,-1-2 0,0 1 0,0-4 0,0 1 0,0 1 0,-2-3 0,2 0 0,-35-1 0,57-1 0,-1 0 0,1 0 0,-1-1 0,0 1 0,1-1 0,-1 1 0,1-1 0,-1 0 0,0 0 0,2 0 0,-1-2 0,-1 2 0,2-1 0,-8-2 0,10 3 0,-1 0 0,-1 0 0,2-1 0,-1 0 0,1 1 0,1-1 0,-2 1 0,1-1 0,-1 0 0,2 0 0,-1 0 0,1 0 0,-2 1 0,2-1 0,0 0 0,0-1 0,0 2 0,0-5 0,2 1 0,-2 1 0,3 0 0,-2-1 0,1 1 0,1 1 0,0-2 0,0 1 0,0 0 0,0 0 0,0 0 0,2 1 0,-1 0 0,1-1 0,-1 1 0,1 0 0,0-1 0,-1 1 0,2 1 0,7-3 0,0 0 0,1 1 0,0-1 0,0 1 0,2 1 0,-2 0 0,1 0 0,1 1 0,-1 1 0,0-1 0,1 2 0,-1 0 0,28 2 0,-32-2 0,-2 2 0,2-1 0,-2 2 0,2-1 0,-2 0 0,0 1 0,0 0 0,0 1 0,1-1 0,-3 0 0,2 2 0,-1-1 0,0 0 0,0 1 0,0 0 0,-2 1 0,2-1 0,-2 2 0,-1-2 0,8 9 0,1 7 0,-2 1 0,-1-2 0,-2 2 0,1 0 0,-3 0 0,4 31 0,-2 140 0,-3-17 0,-3-150 0,2-2 0,3 2 0,-1-2 0,24 45 0,-14-41-112,-3-1 174,3 2-1,1-3 0,24 26 1,-37-46-130,0-2 0,-1 1-1,1 0 1,1-1 0,-1 0 0,1 1 0,0-1 0,0 0 0,2-1 0,-2 0-1,1 0 1,1 0 0,-2 1 0,2-2 0,0 0 0,1 0 0,-2 0 0,1 0-1,0-1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40183 5873 24575,'-14'3'0,"-2"1"0,1 1 0,0-1 0,1 2 0,0 0 0,-2 1 0,-19 16 0,-25 9 0,15-15 0,1-3 0,-2-3 0,0-1 0,-58 4 0,-191-5 0,195-10 0,-2869-2-1545,1072 1-876,-77-76 2109,1100 32-68,-4174-125-2017,4366 157 2276,-852-36 124,144-82-3,893 53 0,-413-55 0,-3124-240 0,2669 245 0,1023 93 0,-1260-203 103,863 116 231,-619-117 3823,90 15-1578,1041 190-2579,-738-151 0,-383-108 0,681 194 0,-313-53 0,586 80 0,-718-160 0,-277-112 0,1316 328 0,12 2 0,-1 2 0,-89-44 0,35-6 0,-108-79 0,124 74 0,-179-85 0,239 135 0,-97-40 0,4-7 0,-221-145 0,-221-167 0,277 191 0,64-6 0,32 26 0,143 118 0,-78-80 0,36 26 0,79 81 0,1-3 0,1 1 0,-28-50 0,-8-5 0,34 38 0,19 36 0,1-2 0,0 0 0,-1 3 0,1-3 0,0 2 0,-2-1 0,1 3 0,0-2 0,0-1 0,0 3 0,-2-3 0,-5-5 0,9 10 0,1 0 0,-1 0 0,-1 0 0,2 0 0,-1 0 0,1 0 0,-1 0 0,0 0 0,1 1 0,-1-1 0,1 0 0,-1 0 0,1 0 0,-2 3 0,2-3 0,-1 0 0,1 0 0,-1 1 0,1-1 0,-1 1 0,1-1 0,-1 0 0,1 1 0,0-1 0,-1 2 0,1-2 0,0 1 0,-2-1 0,2 1 0,0-1 0,0 2 0,-1-2 0,1 2 0,0-2 0,0 2 0,-8 35 0,8-29 0,-5 27 0,-21 92 0,24-116 0,0-5 0,-1 2 0,0 1 0,-1-1 0,1 1 0,-2-2 0,1 1 0,0 0 0,-1-3 0,-1 2 0,-8 10 0,14-17 0,-1 1 0,0-1 0,1 1 0,-1-1 0,-1 3 0,2-3 0,-1 0 0,0 1 0,0-1 0,0 0 0,0 0 0,1 1 0,-2-1 0,1 0 0,0 0 0,0 0 0,0 0 0,1 0 0,-1 0 0,-1 0 0,1-1 0,0 1 0,0 0 0,0 0 0,1-1 0,-1 1 0,-1 0 0,1-3 0,1 3 0,-1-1 0,0 1 0,1-1 0,-1 1 0,-1-1 0,2 1 0,-1-2 0,1 1 0,-1 1 0,1-2 0,-1 1 0,1-1 0,-1 2 0,1-1 0,0 0 0,-1 0 0,1-2 0,0 2 0,0 1 0,0-1 0,0-3 0,-11-62 0,8 29 0,0 1 0,2 0 0,1 0 0,2-2 0,1 3 0,8-43 0,-9 72 4,-1 3 0,0-3-1,1 2 1,-1-1-1,2-1 1,-1 2 0,1 1-1,-1-2 1,1 1 0,0-1-1,-1 3 1,2-2 0,-1 2-1,1-1 1,-1-1 0,1 1-1,-1 1 1,1 0 0,-1-1-1,2 2 1,-2-2-1,2 2 1,-1 0 0,0-2-1,0 2 1,9 0 0,4 1-158,1 0 1,0 1-1,-1 3 1,0-2-1,19 8 1,-18-6-390,30 9-6283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2 0,-25 7 0,36-9 0,0 2 0,1-1 0,-1 0 0,0 2 0,1-1 0,-1 1 0,1 0 0,0 0 0,0 1 0,1-1 0,-1 0 0,1 0 0,-1 1 0,1 1 0,1-1 0,-1 0 0,1 1 0,-1 0 0,1-1 0,-2 10 0,-2 19 0,0 1 0,2-1 0,1 1 0,2 0 0,1 0 0,6 55 0,-1 26 0,-5-110 0,1 89 0,21 179 0,-10-177 0,-8-63 0,0 1 0,2-2 0,14 49 0,-8-42 0,-2 0 0,-2 0 0,-1 2 0,3 62 0,-7-21 0,-8 105 0,5-179 0,-1 1 0,0-4 0,0 4 0,-1-1 0,0-1 0,0 0 0,-1 1 0,0-1 0,0 1 0,-1-2 0,-6 13 0,6-16 0,0 2 0,0-1 0,-1-3 0,1 3 0,-1 0 0,0-2 0,0 1 0,0-1 0,0-1 0,-1 2 0,1-2 0,-1 1 0,1-2 0,-1 1 0,0-1 0,-7 0 0,-2 2 0,-1-2 0,0 0 0,-30-3 0,41 2 0,1-1 0,0 1 0,-1-2 0,1 2 0,0-2 0,0 1 0,0-1 0,0 0 0,0 0 0,0 0 0,1-2 0,-1 2 0,0-2 0,1 2 0,0-1 0,0-1 0,0 1 0,0-1 0,-3-4 0,6 7 0,-1 1 0,1-1 0,-1-1 0,1 1 0,0 1 0,-1-1 0,1 0 0,0 0 0,0 0 0,-1 0 0,1 1 0,0-2 0,0 1 0,0 0 0,0 0 0,0 0 0,0 0 0,0 1 0,1-2 0,-1 1 0,0 0 0,0 0 0,1 0 0,-1 1 0,0-1 0,1-1 0,-1 1 0,1 1 0,-1-1 0,1 1 0,-1 0 0,1-1 0,0 0 0,-1 1 0,1-1 0,0 1 0,-1-2 0,1 2 0,0-1 0,0 1 0,-1 0 0,1-1 0,0 1 0,0 0 0,0-1 0,-1 1 0,3 0 0,1-1 0,0 0 0,0-1 0,0 2 0,1-1 0,-1 1 0,0 0 0,0 0 0,7 3 0,-5-2 0,0 1 0,1 0 0,-1 1 0,0-1 0,-1 2 0,1-1 0,-1 1 0,1 0 0,-1 1 0,0-1 0,0 1 0,0 0 0,-1-1 0,0 2 0,0 0 0,0 0 0,0 0 0,-1 1 0,4 8 0,2 9 0,-2 1 0,0-1 0,-1 2 0,3 29 0,8 35 0,3-1 0,17 58 0,-32-129 0,1-1 0,1 0 0,1-1 0,0 1 0,1-2 0,10 16 0,-15-26-170,0 0-1,1 0 0,0 0 1,-1 0-1,1-1 0,1 0 1,8 4-1,10 5-6655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14693 7139 24507,'-14693'-7133'0,"14859"7349"0,-332-432 0,435 210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853 0 24575,'0'18'0,"1"111"0,-40 224 0,-22-150 0,-11 102 0,56-144 0,16 202 0,5-146 0,-5-138 0,-5-1 0,-26 107 0,12-103 0,6-24 0,-28 66 0,16-56 0,7 0 0,-12 107 0,27-154 0,-4 7 0,-4 2 0,0 0 0,-3-2 0,0 0 0,-2 0 0,-29 33 0,3-1 0,28-39 0,-1-2 0,1 0 0,-35 31 0,44-45 0,1-1 0,-1 0 0,-2 0 0,3 1 0,-3-2 0,1 1 0,0-1 0,-1 1 0,2-2 0,-3 2 0,2-2 0,-2 1 0,-1-1 0,3-1 0,-2 1 0,0 0 0,0-1 0,0 0 0,-14 0 0,17-2 0,0 0 0,2 0 0,-2 0 0,2 0 0,-2-1 0,3 2 0,-3-2 0,1 0 0,1 0 0,0 0 0,0 0 0,-1-1 0,1 1 0,0-1 0,0 1 0,1 1 0,-1-3 0,2 2 0,-1-2 0,-1 2 0,1-2 0,1 2 0,1-2 0,-3-2 0,1 3 0,0-2 0,1 0 0,-1 2 0,1-1 0,-1-1 0,2 1 0,0-1 0,0 1 0,0-1 0,0 2 0,2-2 0,-2 0 0,1 2 0,1-2 0,-1 1 0,4-6 0,-3 8 0,-1 2 0,-1 0 0,2 0 0,-1-1 0,-1 1 0,2 0 0,0-1 0,-1 1 0,-1 0 0,2-1 0,-1 1 0,1 0 0,0 0 0,-2 0 0,1 0 0,1-1 0,-1 1 0,1 0 0,-2 1 0,1-1 0,1 0 0,0 0 0,-1 0 0,-1 0 0,2 1 0,-1-1 0,1 0 0,-2 1 0,2-1 0,-1 0 0,2 1 0,-3-1 0,1 0 0,1 0 0,-2 2 0,1-1 0,-1-1 0,2 1 0,-2 0 0,1-1 0,-1 1 0,0 1 0,1-2 0,1 2 0,34 36 0,-12-9 0,-3-1 0,0 1 0,-4 0 0,-1 1 0,-2 2 0,-1-1 0,-2 0 0,5 42 0,-11 384 0,-12-223 0,40 133 0,-4-7 0,-31 1641 0,4-1982 0,1 1 0,0 0 0,2-1 0,1 3 0,21 30 0,60 92 0,-76-131 0,0-1 0,-2 1 0,4-2 0,0 1 0,-1-2 0,3 1 0,-2 0 0,2-2 0,27 14 0,3-1 0,5-2 0,59 17 0,-99-34 0,67 25 0,-3 3 0,-2 1 0,126 74 0,-160-79-1365,-7-2-5461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39691 13934 24575,'-11'0'0,"-1243"-14"-716,-18-82-2122,505-16 1694,-188-46-1752,-173-29 1501,-116-17-1291,-101-14 1635,-2315-354-707,-1239-203-141,3578 558 1899,74 7 0,97 21 0,112 23 74,-482-62 259,-426-70 425,-914-138 2795,2712 415-3377,-1819-298 1600,22-132 846,1738 392-2622,-973-293 0,-78-101 0,723 213 1462,436 187-612,1-5 0,4-6 0,-100-87 0,-91-111-198,-313-374 0,-190-350 273,703 870-925,5-5 0,-99-195 0,39 50 0,-213-306 0,271 444 0,-117-237 0,-26-162 0,68 134 0,37 79 0,-81-255 0,86 227 0,11 41 0,69 171 0,18 64 0,-1 0 0,-37-84 0,23 71 0,-39-160 0,19 61 0,35 118 0,2 2 0,3-3 0,-9-109 0,21 168 0,0-3 0,-1 3 0,1-1 0,0 1 0,-1-1 0,1 0 0,-1 0 0,0 0 0,-1 0 0,1 1 0,0-1 0,0 1 0,0-2 0,-2 2 0,0-3 0,3 5 0,-2-1 0,1 0 0,0 1 0,0-2 0,0 2 0,0 0 0,-1-1 0,0 1 0,1 0 0,0 0 0,0-2 0,-1 2 0,1 0 0,0 0 0,0 0 0,0 0 0,-1 2 0,0-2 0,1 0 0,0 0 0,0 1 0,-3 1 0,-2 0 0,0 2 0,1-1 0,-1 2 0,0 0 0,1 1 0,-1-2 0,2 2 0,0-2 0,0 1 0,-5 11 0,-3 2 0,1 4 0,2-2 0,0 2 0,-7 29 0,10-33 0,2 2 0,-4-2 0,0-1 0,0 2 0,-1-3 0,-2 3 0,-14 17 0,16-22 0,1 3 0,-1-1 0,1 0 0,-7 23 0,27-74 0,61-155 0,-60 159 0,1 1 0,1 2 0,1 1 0,26-32 0,-32 43 0,-1 2 0,0-1 0,9-20 0,16-25 0,-33 57 10,1 1-1,1-1 1,-1 1-1,0 0 1,1-1-1,-1 2 0,-1-1 1,2 1-1,0-1 1,0 0-1,-1 1 1,2-1-1,-2 0 1,1 1-1,1 1 1,-2-1-1,2 1 0,-2-1 1,2 1-1,-1 0 1,0 0-1,0 0 1,1 0-1,-2 1 1,1-1-1,1 1 1,-2 0-1,2-1 0,-2 2 1,2 0-1,-2 0 1,0-1-1,3 3 1,14 6-193,0 3 0,-3-1 0,32 31 0,-23-20-772,20 16-5871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44967 2423 24575,'-3083'0'-5178,"2084"0"3766,-193-3-1789,-168-13 1855,-141-16-838,-100-4 1358,1465 32 805,-5448-110-1304,-16 53 435,-671 62 885,3320 1 46,330-50 124,22-137 243,13-174 301,1816 241-262,355 55 256,-1610-258 1240,886 72 756,-299-18 167,1092 224-2904,-236-43 2473,576 85-2377,-9-2 189,0-1 0,-2 1 0,2-2 0,0 0 0,1-1-1,-1 0 1,1 0 0,-16-14 0,30 20-223,-2 0 1,1-1-1,1 1 1,-1-2-1,1 2 1,-1-1-1,0 1 1,1 0-1,-1-1 1,1 1-1,-2-1 1,2 1-1,0-1 0,-1-1 1,1 2-1,0-1 1,-1 0-1,1 0 1,0 1-1,0-2 1,0 1-1,-1 0 1,1 0-1,15-5 553,29 12-196,-23 4-360,0 1 1,-1 1 0,0 0 0,-1 3-1,-2-2 1,27 27 0,36 28 11,-79-67-33,1-1 0,-1 2 0,0-1 0,0 0 0,0-1 0,2 1 0,-2 1 0,0-2 0,0 1 0,0-1 0,2 0 0,-2 1 0,0-1 0,0 0 0,1 0 0,0 0 0,1 0 0,-2 0 0,0 0 0,-1-1 0,2 1 0,-2 0 0,1-1 0,-1 1 0,1-2 0,-1 2 0,1-1 0,-1 1 0,1-1 0,-1 1 0,0-1 0,1 1 0,-1-2 0,0 2 0,0-1 0,2 0 0,-2 1 0,0-1 0,0 0 0,0 1 0,0-2 0,0 0 0,1-3 0,-1-2 0,0-1 0,-1 3 0,-1-2 0,1 0 0,0 1 0,-2-7 0,-15-28 0,-2-2 0,-1 1 0,-2 1 0,-29-37 0,36 52 0,-13-13 0,21 28 0,-1 1 0,2 0 0,0-1 0,2 0 0,-1 0 0,-8-22 0,13 32 8,1-2 1,0 2-1,0 0 0,0-2 0,0 2 0,0-1 0,0 0 1,0 0-1,0 1 0,0 0 0,0-1 0,1 1 0,-1-1 0,1 0 1,-1 1-1,1-1 0,0 1 0,-1-1 0,1 1 0,1 0 1,-1-2-1,0 2 0,0 0 0,0 0 0,0-1 0,1 1 1,-1 0-1,0 1 0,0 0 0,1-1 0,0 1 0,-1-1 0,1-1 1,-1 2-1,0-1 0,2 1 0,-2 0 0,0 0 0,1-1 1,3 1-1,9-3-282,-1 2 0,0 0 1,25 2-1,-29-1-331,32 3-6221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43401 0 24575,'-15'11'0,"-3"2"0,0-1 0,0-1 0,-2-1 0,-1 1 0,-34 12 0,-16 9 0,-1010 414 0,823-345 0,-2960 1089-1958,3086-1145 1749,-2557 864-55,1773-640 214,-1044 228 0,-1137 151-538,-103-136 355,106-170-1171,-44-126 1507,561-161-243,29-65 125,2457 8 16,-3952-148-1,1439-81 1081,2272 186-527,-416-86-1,-281-98 1864,759 157-2355,8-9 0,-402-156 0,485 170-46,79 29-16,-162-56 0,9-8 0,-339-171 0,-241-182 0,737 393 0,5-3 0,4 0 0,-136-139 0,136 113 0,-185-132 0,177 154 0,9-2 0,4-1 0,-81-104 0,-130-242 0,183 286 0,71 93 0,-40-64 0,-55-64 0,99 129 0,4-1 0,0 0 0,6 0 0,-29-80 0,41 78 0,-5 2 0,-5-1 0,-35-45 0,-8-15 0,66 99 0,0 0 0,0 1 0,0-1 0,0 1 0,0-3 0,0 3 0,-3-1 0,3 0 0,0 1 0,0-1 0,0 1 0,-2-1 0,2 1 0,0-1 0,-3 1 0,3-2 0,0 2 0,-3 0 0,3-1 0,-2 1 0,2-1 0,-3 1 0,3 0 0,-2-1 0,2 1 0,-3 0 0,3 0 0,-2-1 0,-25 16 0,-25 47 0,40-43 0,-119 117 0,113-122 0,-3 2 0,1-2 0,-3-1 0,0 4 0,0-5 0,-39 16 0,60-27 0,-1 0 0,3 0 0,-2 0 0,-1 2 0,0-2 0,1-1 0,-1 1 0,1 0 0,-3 0 0,2-1 0,0 1 0,1-1 0,-1 3 0,-2-3 0,3 1 0,0-1 0,-3 0 0,2 1 0,1-1 0,-3 0 0,2 0 0,1 0 0,-3 0 0,2 0 0,0-1 0,1 1 0,-3 0 0,2 0 0,1-1 0,-3 1 0,2-3 0,0 3 0,1-1 0,0 0 0,0 0 0,-3 1 0,2-1 0,1 0 0,-1-2 0,0 2 0,3 0 0,-2 0 0,-1 0 0,1 0 0,-1-1 0,3 1 0,-2-1 0,2 1 0,-3 0 0,3 0 0,-3-2 0,3 2 0,0 0 0,0-1 0,-2 0 0,2-2 0,-8-12 0,3-3 0,0 1 0,0-33 0,5 50 0,-3-45 0,1 23 0,-1 0 0,3 2 0,3-2 0,2 2 0,0-1 0,21-35 0,-24 53 0,3 2 0,-2-2 0,2 2 0,0-3 0,0 3 0,0-1 0,-1 0 0,2 1 0,-1 0 0,0 1 0,2-2 0,-1 1 0,1 1 0,-2 0 0,3-2 0,-3 2 0,2 0 0,0 0 0,1 1 0,0-2 0,-3 1 0,3 1 0,-1 0 0,1 0 0,0 0 0,-1 0 0,1 0 0,0 1 0,-3-1 0,2 2 0,9-1 0,25 4 0,0-1 0,-3 2 0,1 2 0,43 8 0,292 88 0,-369-104 0,-2 2 0,-1-2 0,3 1 0,-2-1 0,-1 1 0,1 0 0,0-1 0,2 2 0,-3-1 0,1 0 0,-1 0 0,1 0 0,-1 0 0,-2 0 0,3 1 0,0 0 0,-1 0 0,3 2 0,-7-3 0,2-1 0,-3 2 0,3-2 0,-2 1 0,2-1 0,-3 1 0,3-1 0,-3 2 0,3-2 0,-2 1 0,2-1 0,-3 0 0,1 1 0,2-1 0,-3 0 0,1 0 0,2 1 0,-3-1 0,1 0 0,2 0 0,-3 0 0,0 0 0,1 0 0,-1 0 0,-144 1 0,91-5 0,-1-2 0,5-1 0,-107-21 0,105 19 0,-5-1 0,3 2 0,-64-6 0,113 13-36,-1 1 0,0 0 0,3 0 1,-2 0-1,-1 0 0,1 0 0,0 0 0,-1 1 0,3-1 0,-3 1 0,0 1 0,1 1 0,2-2 0,-3 0 0,3 0 0,-3 1 0,3 0 1,-3 0-1,3 0 0,0 0 0,0 0 0,0 0 0,0 1 0,0 1 0,-1-2 0,4 0 0,-3 2 0,2-2 0,-2 2 0,3-2 0,-1 1 1,0 2-1,1-3 0,-1 2 0,3-1 0,-2 1 0,-1 5 0,-7 25-6790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19491 0 24575,'-7'11'0,"-1"-2"0,0 1 0,0 0 0,-1-1 0,-1-1 0,-15 13 0,-6 6 0,-455 353 0,369-294 0,-1327 928-1958,1384-974 1749,-1147 735-55,796-545 214,-470 195 0,-509 126-538,-48-115 355,49-146-1171,-19-104 1507,250-139-243,14-56 125,1103 8 16,-1775-128-1,647-67 1081,1020 158-527,-188-75-1,-125-82 1864,342 133-2355,1-7 0,-178-133 0,215 145-46,38 26-16,-74-50 0,5-6 0,-153-146 0,-108-155 0,331 335 0,2-2 0,2-2 0,-60-115 0,58 94 0,-81-111 0,81 130 0,1-3 0,4 1 0,-37-89 0,-61-208 0,86 248 0,31 76 0,-18-53 0,-26-57 0,45 111 0,3 1 0,-1-2 0,3 1 0,-14-69 0,20 68 0,-3 0 0,-3 1 0,-15-40 0,-4-13 0,30 85 0,0 0 0,0 1 0,0-2 0,0 2 0,0-1 0,0 1 0,-1 0 0,1-1 0,0 1 0,0-1 0,0 1 0,-1-1 0,1 1 0,0-1 0,-2 1 0,2 0 0,0 0 0,-1 0 0,1-1 0,-1 1 0,1-1 0,-1 1 0,1 0 0,-1-1 0,1 1 0,-1 0 0,1 0 0,-1-2 0,-12 14 0,-9 42 0,16-38 0,-54 100 0,52-105 0,0 4 0,-1-3 0,-2-1 0,1 3 0,0-4 0,-18 16 0,27-26 0,0 1 0,1 0 0,-1 0 0,-1 0 0,1 0 0,0-1 0,0 1 0,0 0 0,-1-1 0,0 0 0,1 2 0,0-2 0,0 1 0,-1-1 0,0 1 0,1-1 0,-1 0 0,1 1 0,0-1 0,-2 0 0,2 0 0,0 0 0,0 0 0,0 0 0,-1-1 0,1 1 0,-1 0 0,1 0 0,0-1 0,-2 1 0,2-1 0,0 1 0,0-2 0,0 2 0,0-1 0,-2 1 0,2-1 0,0 0 0,0 0 0,0 0 0,1 0 0,-1 0 0,-1 1 0,1-2 0,0 1 0,1 0 0,-1-1 0,1 1 0,-1 0 0,1 0 0,-1-2 0,1 2 0,0 0 0,0-1 0,-1 1 0,1-3 0,-4-9 0,2-3 0,-1 1 0,1-28 0,2 41 0,-1-38 0,0 22 0,0-3 0,1 3 0,1-1 0,1 0 0,0 1 0,10-31 0,-11 45 0,1 2 0,0 0 0,0 0 0,0-1 0,1 1 0,-1 0 0,0 0 0,0 0 0,1-1 0,-1 2 0,1-1 0,0 0 0,-1 1 0,1-1 0,0 0 0,-1 1 0,2 0 0,-1 0 0,1 1 0,-1-1 0,-1 0 0,2 1 0,-1 0 0,1 0 0,-1 0 0,1 0 0,-1 0 0,1 1 0,-2-1 0,1 1 0,4 0 0,12 3 0,-1 1 0,-2 1 0,3 0 0,18 7 0,131 76 0,-166-89 0,-1 1 0,0-1 0,2 1 0,-2-1 0,0 1 0,0-1 0,0 0 0,2 1 0,-2 1 0,0-1 0,0 0 0,0 0 0,0 0 0,-1 0 0,2 0 0,-2 0 0,1 2 0,1 0 0,-3-2 0,1-1 0,-1 1 0,1-1 0,-1 1 0,1-1 0,0 1 0,0-1 0,-2 2 0,2-2 0,-1 1 0,1-1 0,-1 0 0,0 1 0,1-1 0,-1 0 0,0 0 0,1 1 0,-2-1 0,1 0 0,1 0 0,-1 0 0,0 0 0,0 0 0,0 0 0,-66 1 0,42-5 0,-1-1 0,2-2 0,-46-15 0,44 13 0,1 0 0,0 2 0,-29-3 0,50 9-36,2 1 0,-2 0 0,2 0 1,-2 0-1,1 0 0,0 0 0,-1 0 0,1 1 0,0-1 0,0 1 0,-1 1 0,1-1 0,1 0 0,-2 0 0,2 0 0,-2 1 0,2-2 1,-1 3-1,0-1 0,1-1 0,0 0 0,-1 1 0,1 2 0,0-2 0,0 0 0,0 0 0,0 2 0,1-2 0,-1 1 0,1-1 0,-1 1 1,1 0-1,0-1 0,0 1 0,1 0 0,-1 0 0,0 5 0,-4 21-6790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3"/>
  <sheetViews>
    <sheetView zoomScale="85" zoomScaleNormal="85" workbookViewId="0">
      <selection activeCell="F19" sqref="F19"/>
    </sheetView>
  </sheetViews>
  <sheetFormatPr defaultRowHeight="17.399999999999999" x14ac:dyDescent="0.4"/>
  <cols>
    <col min="2" max="2" width="14.5" customWidth="1"/>
    <col min="3" max="3" width="104.09765625" customWidth="1"/>
    <col min="6" max="6" width="9" style="2"/>
    <col min="7" max="7" width="9" style="1"/>
    <col min="8" max="8" width="9" style="19"/>
  </cols>
  <sheetData>
    <row r="2" spans="2:3" x14ac:dyDescent="0.4">
      <c r="B2" s="98" t="s">
        <v>185</v>
      </c>
      <c r="C2" s="56" t="s">
        <v>186</v>
      </c>
    </row>
    <row r="3" spans="2:3" x14ac:dyDescent="0.4">
      <c r="B3" s="98"/>
      <c r="C3" s="56" t="s">
        <v>187</v>
      </c>
    </row>
    <row r="4" spans="2:3" x14ac:dyDescent="0.4">
      <c r="B4" s="98"/>
      <c r="C4" s="56" t="s">
        <v>188</v>
      </c>
    </row>
    <row r="5" spans="2:3" x14ac:dyDescent="0.4">
      <c r="B5" s="98"/>
      <c r="C5" s="56" t="s">
        <v>189</v>
      </c>
    </row>
    <row r="6" spans="2:3" x14ac:dyDescent="0.4">
      <c r="B6" s="98"/>
      <c r="C6" s="56" t="s">
        <v>190</v>
      </c>
    </row>
    <row r="7" spans="2:3" x14ac:dyDescent="0.4">
      <c r="B7" s="98"/>
      <c r="C7" s="56" t="s">
        <v>229</v>
      </c>
    </row>
    <row r="8" spans="2:3" x14ac:dyDescent="0.4">
      <c r="B8" s="99" t="s">
        <v>236</v>
      </c>
      <c r="C8" s="56" t="s">
        <v>294</v>
      </c>
    </row>
    <row r="9" spans="2:3" x14ac:dyDescent="0.4">
      <c r="B9" s="100"/>
      <c r="C9" s="56" t="s">
        <v>295</v>
      </c>
    </row>
    <row r="10" spans="2:3" x14ac:dyDescent="0.4">
      <c r="B10" s="100"/>
      <c r="C10" s="56" t="s">
        <v>296</v>
      </c>
    </row>
    <row r="11" spans="2:3" ht="18" thickBot="1" x14ac:dyDescent="0.45">
      <c r="B11" s="100"/>
      <c r="C11" s="56" t="s">
        <v>291</v>
      </c>
    </row>
    <row r="12" spans="2:3" ht="18" thickBot="1" x14ac:dyDescent="0.45">
      <c r="B12" s="85" t="s">
        <v>313</v>
      </c>
      <c r="C12" s="84" t="s">
        <v>314</v>
      </c>
    </row>
    <row r="13" spans="2:3" ht="18" thickBot="1" x14ac:dyDescent="0.45">
      <c r="B13" s="85" t="s">
        <v>321</v>
      </c>
      <c r="C13" s="84" t="s">
        <v>322</v>
      </c>
    </row>
  </sheetData>
  <mergeCells count="2">
    <mergeCell ref="B2:B7"/>
    <mergeCell ref="B8:B11"/>
  </mergeCells>
  <phoneticPr fontId="1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F793-561D-443F-99A3-E780A4F65AAB}">
  <sheetPr>
    <tabColor rgb="FFFF0000"/>
  </sheetPr>
  <dimension ref="A1:AX70"/>
  <sheetViews>
    <sheetView tabSelected="1" zoomScale="70" zoomScaleNormal="70" workbookViewId="0">
      <selection activeCell="R28" sqref="R28:AK28"/>
    </sheetView>
  </sheetViews>
  <sheetFormatPr defaultRowHeight="17.399999999999999" x14ac:dyDescent="0.4"/>
  <cols>
    <col min="4" max="4" width="13.3984375" bestFit="1" customWidth="1"/>
    <col min="7" max="7" width="9.8984375" bestFit="1" customWidth="1"/>
    <col min="46" max="46" width="44.69921875" customWidth="1"/>
    <col min="47" max="47" width="6.59765625" customWidth="1"/>
    <col min="48" max="48" width="41.69921875" bestFit="1" customWidth="1"/>
    <col min="50" max="50" width="38.8984375" customWidth="1"/>
    <col min="51" max="51" width="31.5" customWidth="1"/>
  </cols>
  <sheetData>
    <row r="1" spans="1:38" x14ac:dyDescent="0.4">
      <c r="A1" t="s">
        <v>323</v>
      </c>
    </row>
    <row r="2" spans="1:38" ht="18" thickBot="1" x14ac:dyDescent="0.45"/>
    <row r="3" spans="1:38" ht="49.8" customHeight="1" thickBot="1" x14ac:dyDescent="0.45">
      <c r="D3" s="101" t="s">
        <v>398</v>
      </c>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3"/>
    </row>
    <row r="4" spans="1:38" x14ac:dyDescent="0.4">
      <c r="D4" s="91"/>
      <c r="E4" s="92" t="s">
        <v>41</v>
      </c>
      <c r="F4" s="93">
        <v>31</v>
      </c>
      <c r="G4" s="93">
        <v>30</v>
      </c>
      <c r="H4" s="93" t="s">
        <v>327</v>
      </c>
      <c r="I4" s="93" t="s">
        <v>328</v>
      </c>
      <c r="J4" s="93" t="s">
        <v>329</v>
      </c>
      <c r="K4" s="93" t="s">
        <v>330</v>
      </c>
      <c r="L4" s="93" t="s">
        <v>331</v>
      </c>
      <c r="M4" s="93" t="s">
        <v>332</v>
      </c>
      <c r="N4" s="91">
        <v>23</v>
      </c>
      <c r="O4" s="91">
        <v>22</v>
      </c>
      <c r="P4" s="91">
        <v>21</v>
      </c>
      <c r="Q4" s="91">
        <v>20</v>
      </c>
      <c r="R4" s="91">
        <v>19</v>
      </c>
      <c r="S4" s="91">
        <v>18</v>
      </c>
      <c r="T4" s="91">
        <v>17</v>
      </c>
      <c r="U4" s="91">
        <v>16</v>
      </c>
      <c r="V4" s="91">
        <v>15</v>
      </c>
      <c r="W4" s="91">
        <v>14</v>
      </c>
      <c r="X4" s="91">
        <v>13</v>
      </c>
      <c r="Y4" s="91">
        <v>12</v>
      </c>
      <c r="Z4" s="91">
        <v>11</v>
      </c>
      <c r="AA4" s="91">
        <v>10</v>
      </c>
      <c r="AB4" s="91">
        <v>9</v>
      </c>
      <c r="AC4" s="91">
        <v>8</v>
      </c>
      <c r="AD4" s="91">
        <v>7</v>
      </c>
      <c r="AE4" s="91">
        <v>6</v>
      </c>
      <c r="AF4" s="91">
        <v>5</v>
      </c>
      <c r="AG4" s="91">
        <v>4</v>
      </c>
      <c r="AH4" s="91">
        <v>3</v>
      </c>
      <c r="AI4" s="91">
        <v>2</v>
      </c>
      <c r="AJ4" s="91">
        <v>1</v>
      </c>
      <c r="AK4" s="91">
        <v>0</v>
      </c>
    </row>
    <row r="5" spans="1:38" x14ac:dyDescent="0.4">
      <c r="D5" s="4" t="s">
        <v>39</v>
      </c>
      <c r="E5" s="18"/>
      <c r="F5" s="5" t="s">
        <v>9</v>
      </c>
      <c r="G5" s="104" t="s">
        <v>6</v>
      </c>
      <c r="H5" s="105"/>
      <c r="I5" s="105"/>
      <c r="J5" s="105"/>
      <c r="K5" s="105"/>
      <c r="L5" s="105"/>
      <c r="M5" s="106"/>
      <c r="N5" s="104" t="s">
        <v>7</v>
      </c>
      <c r="O5" s="105"/>
      <c r="P5" s="105"/>
      <c r="Q5" s="105"/>
      <c r="R5" s="105"/>
      <c r="S5" s="105"/>
      <c r="T5" s="105"/>
      <c r="U5" s="105"/>
      <c r="V5" s="105"/>
      <c r="W5" s="105"/>
      <c r="X5" s="105"/>
      <c r="Y5" s="105"/>
      <c r="Z5" s="105"/>
      <c r="AA5" s="105"/>
      <c r="AB5" s="105"/>
      <c r="AC5" s="105"/>
      <c r="AD5" s="105"/>
      <c r="AE5" s="105"/>
      <c r="AF5" s="105"/>
      <c r="AG5" s="105"/>
      <c r="AH5" s="105"/>
      <c r="AI5" s="105"/>
      <c r="AJ5" s="105"/>
      <c r="AK5" s="106"/>
    </row>
    <row r="6" spans="1:38" ht="60" customHeight="1" x14ac:dyDescent="0.4">
      <c r="D6" s="6" t="s">
        <v>406</v>
      </c>
      <c r="E6" s="20">
        <v>110</v>
      </c>
      <c r="F6" s="7" t="s">
        <v>325</v>
      </c>
      <c r="G6" s="107" t="str">
        <f>"0x" &amp; DEC2HEX(E6,2)</f>
        <v>0x6E</v>
      </c>
      <c r="H6" s="108"/>
      <c r="I6" s="108"/>
      <c r="J6" s="108"/>
      <c r="K6" s="108"/>
      <c r="L6" s="108"/>
      <c r="M6" s="109"/>
      <c r="N6" s="107" t="s">
        <v>399</v>
      </c>
      <c r="O6" s="108"/>
      <c r="P6" s="108"/>
      <c r="Q6" s="108"/>
      <c r="R6" s="108"/>
      <c r="S6" s="108"/>
      <c r="T6" s="108"/>
      <c r="U6" s="108"/>
      <c r="V6" s="108"/>
      <c r="W6" s="108"/>
      <c r="X6" s="108"/>
      <c r="Y6" s="108"/>
      <c r="Z6" s="108"/>
      <c r="AA6" s="108"/>
      <c r="AB6" s="108"/>
      <c r="AC6" s="108"/>
      <c r="AD6" s="108"/>
      <c r="AE6" s="108"/>
      <c r="AF6" s="108"/>
      <c r="AG6" s="108"/>
      <c r="AH6" s="108"/>
      <c r="AI6" s="108"/>
      <c r="AJ6" s="108"/>
      <c r="AK6" s="109"/>
    </row>
    <row r="7" spans="1:38" ht="18" thickBot="1" x14ac:dyDescent="0.45"/>
    <row r="8" spans="1:38" ht="28.2" thickBot="1" x14ac:dyDescent="0.45">
      <c r="D8" s="101" t="s">
        <v>359</v>
      </c>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3"/>
    </row>
    <row r="9" spans="1:38" x14ac:dyDescent="0.4">
      <c r="D9" s="91"/>
      <c r="E9" s="92" t="s">
        <v>41</v>
      </c>
      <c r="F9" s="93">
        <v>31</v>
      </c>
      <c r="G9" s="93">
        <v>30</v>
      </c>
      <c r="H9" s="93" t="s">
        <v>327</v>
      </c>
      <c r="I9" s="93" t="s">
        <v>328</v>
      </c>
      <c r="J9" s="93" t="s">
        <v>329</v>
      </c>
      <c r="K9" s="93" t="s">
        <v>330</v>
      </c>
      <c r="L9" s="93" t="s">
        <v>331</v>
      </c>
      <c r="M9" s="93" t="s">
        <v>332</v>
      </c>
      <c r="N9" s="91">
        <v>23</v>
      </c>
      <c r="O9" s="91">
        <v>22</v>
      </c>
      <c r="P9" s="91">
        <v>21</v>
      </c>
      <c r="Q9" s="91">
        <v>20</v>
      </c>
      <c r="R9" s="91">
        <v>19</v>
      </c>
      <c r="S9" s="91">
        <v>18</v>
      </c>
      <c r="T9" s="91">
        <v>17</v>
      </c>
      <c r="U9" s="91">
        <v>16</v>
      </c>
      <c r="V9" s="91">
        <v>15</v>
      </c>
      <c r="W9" s="91">
        <v>14</v>
      </c>
      <c r="X9" s="91">
        <v>13</v>
      </c>
      <c r="Y9" s="91">
        <v>12</v>
      </c>
      <c r="Z9" s="91">
        <v>11</v>
      </c>
      <c r="AA9" s="91">
        <v>10</v>
      </c>
      <c r="AB9" s="91">
        <v>9</v>
      </c>
      <c r="AC9" s="91">
        <v>8</v>
      </c>
      <c r="AD9" s="91">
        <v>7</v>
      </c>
      <c r="AE9" s="91">
        <v>6</v>
      </c>
      <c r="AF9" s="91">
        <v>5</v>
      </c>
      <c r="AG9" s="91">
        <v>4</v>
      </c>
      <c r="AH9" s="91">
        <v>3</v>
      </c>
      <c r="AI9" s="91">
        <v>2</v>
      </c>
      <c r="AJ9" s="91">
        <v>1</v>
      </c>
      <c r="AK9" s="91">
        <v>0</v>
      </c>
      <c r="AL9" s="94"/>
    </row>
    <row r="10" spans="1:38" x14ac:dyDescent="0.4">
      <c r="D10" s="4" t="s">
        <v>39</v>
      </c>
      <c r="E10" s="18"/>
      <c r="F10" s="5" t="s">
        <v>9</v>
      </c>
      <c r="G10" s="104" t="s">
        <v>6</v>
      </c>
      <c r="H10" s="105"/>
      <c r="I10" s="105"/>
      <c r="J10" s="105"/>
      <c r="K10" s="105"/>
      <c r="L10" s="105"/>
      <c r="M10" s="106"/>
      <c r="N10" s="104" t="s">
        <v>7</v>
      </c>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6"/>
      <c r="AL10" s="16"/>
    </row>
    <row r="11" spans="1:38" ht="40.049999999999997" customHeight="1" x14ac:dyDescent="0.4">
      <c r="D11" s="6" t="s">
        <v>362</v>
      </c>
      <c r="E11" s="20">
        <v>111</v>
      </c>
      <c r="F11" s="7" t="s">
        <v>325</v>
      </c>
      <c r="G11" s="107" t="str">
        <f t="shared" ref="G11:G22" si="0">"0x" &amp; DEC2HEX(E11,2)</f>
        <v>0x6F</v>
      </c>
      <c r="H11" s="108"/>
      <c r="I11" s="108"/>
      <c r="J11" s="108"/>
      <c r="K11" s="108"/>
      <c r="L11" s="108"/>
      <c r="M11" s="109"/>
      <c r="N11" s="6">
        <v>0</v>
      </c>
      <c r="O11" s="107" t="s">
        <v>360</v>
      </c>
      <c r="P11" s="108"/>
      <c r="Q11" s="108"/>
      <c r="R11" s="108"/>
      <c r="S11" s="108"/>
      <c r="T11" s="108"/>
      <c r="U11" s="109"/>
      <c r="V11" s="108" t="s">
        <v>361</v>
      </c>
      <c r="W11" s="108"/>
      <c r="X11" s="108"/>
      <c r="Y11" s="108"/>
      <c r="Z11" s="108"/>
      <c r="AA11" s="108"/>
      <c r="AB11" s="108"/>
      <c r="AC11" s="108"/>
      <c r="AD11" s="108"/>
      <c r="AE11" s="108"/>
      <c r="AF11" s="108"/>
      <c r="AG11" s="108"/>
      <c r="AH11" s="108"/>
      <c r="AI11" s="108"/>
      <c r="AJ11" s="108"/>
      <c r="AK11" s="109"/>
      <c r="AL11" s="16">
        <v>0</v>
      </c>
    </row>
    <row r="12" spans="1:38" ht="40.049999999999997" customHeight="1" x14ac:dyDescent="0.4">
      <c r="D12" s="6" t="s">
        <v>363</v>
      </c>
      <c r="E12" s="20">
        <v>112</v>
      </c>
      <c r="F12" s="7" t="s">
        <v>325</v>
      </c>
      <c r="G12" s="107" t="str">
        <f t="shared" si="0"/>
        <v>0x70</v>
      </c>
      <c r="H12" s="108"/>
      <c r="I12" s="108"/>
      <c r="J12" s="108"/>
      <c r="K12" s="108"/>
      <c r="L12" s="108"/>
      <c r="M12" s="109"/>
      <c r="N12" s="6">
        <v>0</v>
      </c>
      <c r="O12" s="107" t="s">
        <v>360</v>
      </c>
      <c r="P12" s="108"/>
      <c r="Q12" s="108"/>
      <c r="R12" s="108"/>
      <c r="S12" s="108"/>
      <c r="T12" s="108"/>
      <c r="U12" s="109"/>
      <c r="V12" s="108" t="s">
        <v>361</v>
      </c>
      <c r="W12" s="108"/>
      <c r="X12" s="108"/>
      <c r="Y12" s="108"/>
      <c r="Z12" s="108"/>
      <c r="AA12" s="108"/>
      <c r="AB12" s="108"/>
      <c r="AC12" s="108"/>
      <c r="AD12" s="108"/>
      <c r="AE12" s="108"/>
      <c r="AF12" s="108"/>
      <c r="AG12" s="108"/>
      <c r="AH12" s="108"/>
      <c r="AI12" s="108"/>
      <c r="AJ12" s="108"/>
      <c r="AK12" s="109"/>
      <c r="AL12" s="16">
        <v>0</v>
      </c>
    </row>
    <row r="13" spans="1:38" ht="40.049999999999997" customHeight="1" x14ac:dyDescent="0.4">
      <c r="D13" s="6" t="s">
        <v>364</v>
      </c>
      <c r="E13" s="20">
        <v>113</v>
      </c>
      <c r="F13" s="7" t="s">
        <v>325</v>
      </c>
      <c r="G13" s="107" t="str">
        <f t="shared" si="0"/>
        <v>0x71</v>
      </c>
      <c r="H13" s="108"/>
      <c r="I13" s="108"/>
      <c r="J13" s="108"/>
      <c r="K13" s="108"/>
      <c r="L13" s="108"/>
      <c r="M13" s="109"/>
      <c r="N13" s="6">
        <v>0</v>
      </c>
      <c r="O13" s="107" t="s">
        <v>360</v>
      </c>
      <c r="P13" s="108"/>
      <c r="Q13" s="108"/>
      <c r="R13" s="108"/>
      <c r="S13" s="108"/>
      <c r="T13" s="108"/>
      <c r="U13" s="109"/>
      <c r="V13" s="108" t="s">
        <v>361</v>
      </c>
      <c r="W13" s="108"/>
      <c r="X13" s="108"/>
      <c r="Y13" s="108"/>
      <c r="Z13" s="108"/>
      <c r="AA13" s="108"/>
      <c r="AB13" s="108"/>
      <c r="AC13" s="108"/>
      <c r="AD13" s="108"/>
      <c r="AE13" s="108"/>
      <c r="AF13" s="108"/>
      <c r="AG13" s="108"/>
      <c r="AH13" s="108"/>
      <c r="AI13" s="108"/>
      <c r="AJ13" s="108"/>
      <c r="AK13" s="109"/>
      <c r="AL13" s="16">
        <v>0</v>
      </c>
    </row>
    <row r="14" spans="1:38" ht="40.049999999999997" customHeight="1" x14ac:dyDescent="0.4">
      <c r="D14" s="6" t="s">
        <v>365</v>
      </c>
      <c r="E14" s="20">
        <v>114</v>
      </c>
      <c r="F14" s="7" t="s">
        <v>325</v>
      </c>
      <c r="G14" s="107" t="str">
        <f t="shared" si="0"/>
        <v>0x72</v>
      </c>
      <c r="H14" s="108"/>
      <c r="I14" s="108"/>
      <c r="J14" s="108"/>
      <c r="K14" s="108"/>
      <c r="L14" s="108"/>
      <c r="M14" s="109"/>
      <c r="N14" s="6">
        <v>0</v>
      </c>
      <c r="O14" s="107" t="s">
        <v>360</v>
      </c>
      <c r="P14" s="108"/>
      <c r="Q14" s="108"/>
      <c r="R14" s="108"/>
      <c r="S14" s="108"/>
      <c r="T14" s="108"/>
      <c r="U14" s="109"/>
      <c r="V14" s="108" t="s">
        <v>361</v>
      </c>
      <c r="W14" s="108"/>
      <c r="X14" s="108"/>
      <c r="Y14" s="108"/>
      <c r="Z14" s="108"/>
      <c r="AA14" s="108"/>
      <c r="AB14" s="108"/>
      <c r="AC14" s="108"/>
      <c r="AD14" s="108"/>
      <c r="AE14" s="108"/>
      <c r="AF14" s="108"/>
      <c r="AG14" s="108"/>
      <c r="AH14" s="108"/>
      <c r="AI14" s="108"/>
      <c r="AJ14" s="108"/>
      <c r="AK14" s="109"/>
      <c r="AL14" s="16">
        <v>0</v>
      </c>
    </row>
    <row r="15" spans="1:38" ht="40.049999999999997" customHeight="1" x14ac:dyDescent="0.4">
      <c r="D15" s="6" t="s">
        <v>366</v>
      </c>
      <c r="E15" s="20">
        <v>115</v>
      </c>
      <c r="F15" s="7" t="s">
        <v>325</v>
      </c>
      <c r="G15" s="107" t="str">
        <f t="shared" si="0"/>
        <v>0x73</v>
      </c>
      <c r="H15" s="108"/>
      <c r="I15" s="108"/>
      <c r="J15" s="108"/>
      <c r="K15" s="108"/>
      <c r="L15" s="108"/>
      <c r="M15" s="109"/>
      <c r="N15" s="6">
        <v>0</v>
      </c>
      <c r="O15" s="107" t="s">
        <v>360</v>
      </c>
      <c r="P15" s="108"/>
      <c r="Q15" s="108"/>
      <c r="R15" s="108"/>
      <c r="S15" s="108"/>
      <c r="T15" s="108"/>
      <c r="U15" s="109"/>
      <c r="V15" s="108" t="s">
        <v>361</v>
      </c>
      <c r="W15" s="108"/>
      <c r="X15" s="108"/>
      <c r="Y15" s="108"/>
      <c r="Z15" s="108"/>
      <c r="AA15" s="108"/>
      <c r="AB15" s="108"/>
      <c r="AC15" s="108"/>
      <c r="AD15" s="108"/>
      <c r="AE15" s="108"/>
      <c r="AF15" s="108"/>
      <c r="AG15" s="108"/>
      <c r="AH15" s="108"/>
      <c r="AI15" s="108"/>
      <c r="AJ15" s="108"/>
      <c r="AK15" s="109"/>
      <c r="AL15" s="16">
        <v>0</v>
      </c>
    </row>
    <row r="16" spans="1:38" ht="40.049999999999997" customHeight="1" x14ac:dyDescent="0.4">
      <c r="D16" s="6" t="s">
        <v>367</v>
      </c>
      <c r="E16" s="20">
        <v>116</v>
      </c>
      <c r="F16" s="7" t="s">
        <v>325</v>
      </c>
      <c r="G16" s="107" t="str">
        <f t="shared" si="0"/>
        <v>0x74</v>
      </c>
      <c r="H16" s="108"/>
      <c r="I16" s="108"/>
      <c r="J16" s="108"/>
      <c r="K16" s="108"/>
      <c r="L16" s="108"/>
      <c r="M16" s="109"/>
      <c r="N16" s="6">
        <v>0</v>
      </c>
      <c r="O16" s="107" t="s">
        <v>360</v>
      </c>
      <c r="P16" s="108"/>
      <c r="Q16" s="108"/>
      <c r="R16" s="108"/>
      <c r="S16" s="108"/>
      <c r="T16" s="108"/>
      <c r="U16" s="109"/>
      <c r="V16" s="108" t="s">
        <v>361</v>
      </c>
      <c r="W16" s="108"/>
      <c r="X16" s="108"/>
      <c r="Y16" s="108"/>
      <c r="Z16" s="108"/>
      <c r="AA16" s="108"/>
      <c r="AB16" s="108"/>
      <c r="AC16" s="108"/>
      <c r="AD16" s="108"/>
      <c r="AE16" s="108"/>
      <c r="AF16" s="108"/>
      <c r="AG16" s="108"/>
      <c r="AH16" s="108"/>
      <c r="AI16" s="108"/>
      <c r="AJ16" s="108"/>
      <c r="AK16" s="109"/>
      <c r="AL16" s="16">
        <v>0</v>
      </c>
    </row>
    <row r="17" spans="4:38" ht="40.049999999999997" customHeight="1" x14ac:dyDescent="0.4">
      <c r="D17" s="6" t="s">
        <v>368</v>
      </c>
      <c r="E17" s="20">
        <v>117</v>
      </c>
      <c r="F17" s="7" t="s">
        <v>325</v>
      </c>
      <c r="G17" s="107" t="str">
        <f t="shared" si="0"/>
        <v>0x75</v>
      </c>
      <c r="H17" s="108"/>
      <c r="I17" s="108"/>
      <c r="J17" s="108"/>
      <c r="K17" s="108"/>
      <c r="L17" s="108"/>
      <c r="M17" s="109"/>
      <c r="N17" s="6">
        <v>0</v>
      </c>
      <c r="O17" s="107" t="s">
        <v>360</v>
      </c>
      <c r="P17" s="108"/>
      <c r="Q17" s="108"/>
      <c r="R17" s="108"/>
      <c r="S17" s="108"/>
      <c r="T17" s="108"/>
      <c r="U17" s="109"/>
      <c r="V17" s="108" t="s">
        <v>361</v>
      </c>
      <c r="W17" s="108"/>
      <c r="X17" s="108"/>
      <c r="Y17" s="108"/>
      <c r="Z17" s="108"/>
      <c r="AA17" s="108"/>
      <c r="AB17" s="108"/>
      <c r="AC17" s="108"/>
      <c r="AD17" s="108"/>
      <c r="AE17" s="108"/>
      <c r="AF17" s="108"/>
      <c r="AG17" s="108"/>
      <c r="AH17" s="108"/>
      <c r="AI17" s="108"/>
      <c r="AJ17" s="108"/>
      <c r="AK17" s="109"/>
      <c r="AL17" s="16">
        <v>0</v>
      </c>
    </row>
    <row r="18" spans="4:38" ht="40.049999999999997" customHeight="1" x14ac:dyDescent="0.4">
      <c r="D18" s="6" t="s">
        <v>369</v>
      </c>
      <c r="E18" s="20">
        <v>118</v>
      </c>
      <c r="F18" s="7" t="s">
        <v>325</v>
      </c>
      <c r="G18" s="107" t="str">
        <f t="shared" si="0"/>
        <v>0x76</v>
      </c>
      <c r="H18" s="108"/>
      <c r="I18" s="108"/>
      <c r="J18" s="108"/>
      <c r="K18" s="108"/>
      <c r="L18" s="108"/>
      <c r="M18" s="109"/>
      <c r="N18" s="6">
        <v>0</v>
      </c>
      <c r="O18" s="107" t="s">
        <v>360</v>
      </c>
      <c r="P18" s="108"/>
      <c r="Q18" s="108"/>
      <c r="R18" s="108"/>
      <c r="S18" s="108"/>
      <c r="T18" s="108"/>
      <c r="U18" s="109"/>
      <c r="V18" s="108" t="s">
        <v>361</v>
      </c>
      <c r="W18" s="108"/>
      <c r="X18" s="108"/>
      <c r="Y18" s="108"/>
      <c r="Z18" s="108"/>
      <c r="AA18" s="108"/>
      <c r="AB18" s="108"/>
      <c r="AC18" s="108"/>
      <c r="AD18" s="108"/>
      <c r="AE18" s="108"/>
      <c r="AF18" s="108"/>
      <c r="AG18" s="108"/>
      <c r="AH18" s="108"/>
      <c r="AI18" s="108"/>
      <c r="AJ18" s="108"/>
      <c r="AK18" s="109"/>
      <c r="AL18" s="16">
        <v>0</v>
      </c>
    </row>
    <row r="19" spans="4:38" ht="40.049999999999997" customHeight="1" x14ac:dyDescent="0.4">
      <c r="D19" s="6" t="s">
        <v>370</v>
      </c>
      <c r="E19" s="20">
        <v>119</v>
      </c>
      <c r="F19" s="7" t="s">
        <v>325</v>
      </c>
      <c r="G19" s="107" t="str">
        <f t="shared" si="0"/>
        <v>0x77</v>
      </c>
      <c r="H19" s="108"/>
      <c r="I19" s="108"/>
      <c r="J19" s="108"/>
      <c r="K19" s="108"/>
      <c r="L19" s="108"/>
      <c r="M19" s="109"/>
      <c r="N19" s="6">
        <v>0</v>
      </c>
      <c r="O19" s="107" t="s">
        <v>360</v>
      </c>
      <c r="P19" s="108"/>
      <c r="Q19" s="108"/>
      <c r="R19" s="108"/>
      <c r="S19" s="108"/>
      <c r="T19" s="108"/>
      <c r="U19" s="109"/>
      <c r="V19" s="108" t="s">
        <v>361</v>
      </c>
      <c r="W19" s="108"/>
      <c r="X19" s="108"/>
      <c r="Y19" s="108"/>
      <c r="Z19" s="108"/>
      <c r="AA19" s="108"/>
      <c r="AB19" s="108"/>
      <c r="AC19" s="108"/>
      <c r="AD19" s="108"/>
      <c r="AE19" s="108"/>
      <c r="AF19" s="108"/>
      <c r="AG19" s="108"/>
      <c r="AH19" s="108"/>
      <c r="AI19" s="108"/>
      <c r="AJ19" s="108"/>
      <c r="AK19" s="109"/>
      <c r="AL19" s="16">
        <v>0</v>
      </c>
    </row>
    <row r="20" spans="4:38" ht="40.049999999999997" customHeight="1" x14ac:dyDescent="0.4">
      <c r="D20" s="6" t="s">
        <v>371</v>
      </c>
      <c r="E20" s="20">
        <v>120</v>
      </c>
      <c r="F20" s="7" t="s">
        <v>325</v>
      </c>
      <c r="G20" s="107" t="str">
        <f t="shared" si="0"/>
        <v>0x78</v>
      </c>
      <c r="H20" s="108"/>
      <c r="I20" s="108"/>
      <c r="J20" s="108"/>
      <c r="K20" s="108"/>
      <c r="L20" s="108"/>
      <c r="M20" s="109"/>
      <c r="N20" s="6">
        <v>0</v>
      </c>
      <c r="O20" s="107" t="s">
        <v>360</v>
      </c>
      <c r="P20" s="108"/>
      <c r="Q20" s="108"/>
      <c r="R20" s="108"/>
      <c r="S20" s="108"/>
      <c r="T20" s="108"/>
      <c r="U20" s="109"/>
      <c r="V20" s="108" t="s">
        <v>361</v>
      </c>
      <c r="W20" s="108"/>
      <c r="X20" s="108"/>
      <c r="Y20" s="108"/>
      <c r="Z20" s="108"/>
      <c r="AA20" s="108"/>
      <c r="AB20" s="108"/>
      <c r="AC20" s="108"/>
      <c r="AD20" s="108"/>
      <c r="AE20" s="108"/>
      <c r="AF20" s="108"/>
      <c r="AG20" s="108"/>
      <c r="AH20" s="108"/>
      <c r="AI20" s="108"/>
      <c r="AJ20" s="108"/>
      <c r="AK20" s="109"/>
      <c r="AL20" s="16">
        <v>0</v>
      </c>
    </row>
    <row r="21" spans="4:38" ht="40.049999999999997" customHeight="1" x14ac:dyDescent="0.4">
      <c r="D21" s="6" t="s">
        <v>372</v>
      </c>
      <c r="E21" s="20">
        <v>121</v>
      </c>
      <c r="F21" s="7" t="s">
        <v>325</v>
      </c>
      <c r="G21" s="107" t="str">
        <f t="shared" si="0"/>
        <v>0x79</v>
      </c>
      <c r="H21" s="108"/>
      <c r="I21" s="108"/>
      <c r="J21" s="108"/>
      <c r="K21" s="108"/>
      <c r="L21" s="108"/>
      <c r="M21" s="109"/>
      <c r="N21" s="6">
        <v>0</v>
      </c>
      <c r="O21" s="107" t="s">
        <v>360</v>
      </c>
      <c r="P21" s="108"/>
      <c r="Q21" s="108"/>
      <c r="R21" s="108"/>
      <c r="S21" s="108"/>
      <c r="T21" s="108"/>
      <c r="U21" s="109"/>
      <c r="V21" s="108" t="s">
        <v>361</v>
      </c>
      <c r="W21" s="108"/>
      <c r="X21" s="108"/>
      <c r="Y21" s="108"/>
      <c r="Z21" s="108"/>
      <c r="AA21" s="108"/>
      <c r="AB21" s="108"/>
      <c r="AC21" s="108"/>
      <c r="AD21" s="108"/>
      <c r="AE21" s="108"/>
      <c r="AF21" s="108"/>
      <c r="AG21" s="108"/>
      <c r="AH21" s="108"/>
      <c r="AI21" s="108"/>
      <c r="AJ21" s="108"/>
      <c r="AK21" s="109"/>
      <c r="AL21" s="16">
        <v>0</v>
      </c>
    </row>
    <row r="22" spans="4:38" ht="40.049999999999997" customHeight="1" x14ac:dyDescent="0.4">
      <c r="D22" s="6" t="s">
        <v>373</v>
      </c>
      <c r="E22" s="20">
        <v>122</v>
      </c>
      <c r="F22" s="7" t="s">
        <v>325</v>
      </c>
      <c r="G22" s="107" t="str">
        <f t="shared" si="0"/>
        <v>0x7A</v>
      </c>
      <c r="H22" s="108"/>
      <c r="I22" s="108"/>
      <c r="J22" s="108"/>
      <c r="K22" s="108"/>
      <c r="L22" s="108"/>
      <c r="M22" s="109"/>
      <c r="N22" s="6">
        <v>0</v>
      </c>
      <c r="O22" s="107" t="s">
        <v>360</v>
      </c>
      <c r="P22" s="108"/>
      <c r="Q22" s="108"/>
      <c r="R22" s="108"/>
      <c r="S22" s="108"/>
      <c r="T22" s="108"/>
      <c r="U22" s="109"/>
      <c r="V22" s="108" t="s">
        <v>361</v>
      </c>
      <c r="W22" s="108"/>
      <c r="X22" s="108"/>
      <c r="Y22" s="108"/>
      <c r="Z22" s="108"/>
      <c r="AA22" s="108"/>
      <c r="AB22" s="108"/>
      <c r="AC22" s="108"/>
      <c r="AD22" s="108"/>
      <c r="AE22" s="108"/>
      <c r="AF22" s="108"/>
      <c r="AG22" s="108"/>
      <c r="AH22" s="108"/>
      <c r="AI22" s="108"/>
      <c r="AJ22" s="108"/>
      <c r="AK22" s="109"/>
      <c r="AL22" s="16">
        <v>0</v>
      </c>
    </row>
    <row r="24" spans="4:38" ht="18" thickBot="1" x14ac:dyDescent="0.45"/>
    <row r="25" spans="4:38" ht="49.8" customHeight="1" thickBot="1" x14ac:dyDescent="0.45">
      <c r="D25" s="101" t="s">
        <v>396</v>
      </c>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3"/>
    </row>
    <row r="26" spans="4:38" x14ac:dyDescent="0.4">
      <c r="D26" s="91"/>
      <c r="E26" s="92" t="s">
        <v>41</v>
      </c>
      <c r="F26" s="93">
        <v>31</v>
      </c>
      <c r="G26" s="93">
        <v>30</v>
      </c>
      <c r="H26" s="93" t="s">
        <v>327</v>
      </c>
      <c r="I26" s="93" t="s">
        <v>328</v>
      </c>
      <c r="J26" s="93" t="s">
        <v>329</v>
      </c>
      <c r="K26" s="93" t="s">
        <v>330</v>
      </c>
      <c r="L26" s="93" t="s">
        <v>331</v>
      </c>
      <c r="M26" s="93" t="s">
        <v>332</v>
      </c>
      <c r="N26" s="91">
        <v>23</v>
      </c>
      <c r="O26" s="91">
        <v>22</v>
      </c>
      <c r="P26" s="91">
        <v>21</v>
      </c>
      <c r="Q26" s="91">
        <v>20</v>
      </c>
      <c r="R26" s="91">
        <v>19</v>
      </c>
      <c r="S26" s="91">
        <v>18</v>
      </c>
      <c r="T26" s="91">
        <v>17</v>
      </c>
      <c r="U26" s="91">
        <v>16</v>
      </c>
      <c r="V26" s="91">
        <v>15</v>
      </c>
      <c r="W26" s="91">
        <v>14</v>
      </c>
      <c r="X26" s="91">
        <v>13</v>
      </c>
      <c r="Y26" s="91">
        <v>12</v>
      </c>
      <c r="Z26" s="91">
        <v>11</v>
      </c>
      <c r="AA26" s="91">
        <v>10</v>
      </c>
      <c r="AB26" s="91">
        <v>9</v>
      </c>
      <c r="AC26" s="91">
        <v>8</v>
      </c>
      <c r="AD26" s="91">
        <v>7</v>
      </c>
      <c r="AE26" s="91">
        <v>6</v>
      </c>
      <c r="AF26" s="91">
        <v>5</v>
      </c>
      <c r="AG26" s="91">
        <v>4</v>
      </c>
      <c r="AH26" s="91">
        <v>3</v>
      </c>
      <c r="AI26" s="91">
        <v>2</v>
      </c>
      <c r="AJ26" s="91">
        <v>1</v>
      </c>
      <c r="AK26" s="91">
        <v>0</v>
      </c>
    </row>
    <row r="27" spans="4:38" x14ac:dyDescent="0.4">
      <c r="D27" s="4" t="s">
        <v>39</v>
      </c>
      <c r="E27" s="18"/>
      <c r="F27" s="5" t="s">
        <v>9</v>
      </c>
      <c r="G27" s="104" t="s">
        <v>6</v>
      </c>
      <c r="H27" s="105"/>
      <c r="I27" s="105"/>
      <c r="J27" s="105"/>
      <c r="K27" s="105"/>
      <c r="L27" s="105"/>
      <c r="M27" s="106"/>
      <c r="N27" s="104" t="s">
        <v>7</v>
      </c>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6"/>
    </row>
    <row r="28" spans="4:38" ht="60" customHeight="1" x14ac:dyDescent="0.4">
      <c r="D28" s="6" t="s">
        <v>401</v>
      </c>
      <c r="E28" s="20">
        <v>123</v>
      </c>
      <c r="F28" s="7" t="s">
        <v>325</v>
      </c>
      <c r="G28" s="107" t="str">
        <f>"0x" &amp; DEC2HEX(E28,2)</f>
        <v>0x7B</v>
      </c>
      <c r="H28" s="108"/>
      <c r="I28" s="108"/>
      <c r="J28" s="108"/>
      <c r="K28" s="108"/>
      <c r="L28" s="108"/>
      <c r="M28" s="109"/>
      <c r="N28" s="8">
        <v>0</v>
      </c>
      <c r="O28" s="8">
        <v>0</v>
      </c>
      <c r="P28" s="8">
        <v>0</v>
      </c>
      <c r="Q28" s="8">
        <v>0</v>
      </c>
      <c r="R28" s="110" t="s">
        <v>397</v>
      </c>
      <c r="S28" s="111"/>
      <c r="T28" s="111"/>
      <c r="U28" s="111"/>
      <c r="V28" s="111"/>
      <c r="W28" s="111"/>
      <c r="X28" s="111"/>
      <c r="Y28" s="111"/>
      <c r="Z28" s="111"/>
      <c r="AA28" s="111"/>
      <c r="AB28" s="111"/>
      <c r="AC28" s="111"/>
      <c r="AD28" s="111"/>
      <c r="AE28" s="111"/>
      <c r="AF28" s="111"/>
      <c r="AG28" s="111"/>
      <c r="AH28" s="111"/>
      <c r="AI28" s="111"/>
      <c r="AJ28" s="111"/>
      <c r="AK28" s="112"/>
      <c r="AL28" s="90" t="s">
        <v>385</v>
      </c>
    </row>
    <row r="29" spans="4:38" ht="18" thickBot="1" x14ac:dyDescent="0.45"/>
    <row r="30" spans="4:38" ht="49.95" customHeight="1" thickBot="1" x14ac:dyDescent="0.45">
      <c r="D30" s="101" t="s">
        <v>353</v>
      </c>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3"/>
    </row>
    <row r="31" spans="4:38" x14ac:dyDescent="0.4">
      <c r="D31" s="91"/>
      <c r="E31" s="92" t="s">
        <v>41</v>
      </c>
      <c r="F31" s="93">
        <v>31</v>
      </c>
      <c r="G31" s="93">
        <v>30</v>
      </c>
      <c r="H31" s="93" t="s">
        <v>327</v>
      </c>
      <c r="I31" s="93" t="s">
        <v>328</v>
      </c>
      <c r="J31" s="93" t="s">
        <v>329</v>
      </c>
      <c r="K31" s="93" t="s">
        <v>330</v>
      </c>
      <c r="L31" s="93" t="s">
        <v>331</v>
      </c>
      <c r="M31" s="93" t="s">
        <v>332</v>
      </c>
      <c r="N31" s="91">
        <v>23</v>
      </c>
      <c r="O31" s="91">
        <v>22</v>
      </c>
      <c r="P31" s="91">
        <v>21</v>
      </c>
      <c r="Q31" s="91">
        <v>20</v>
      </c>
      <c r="R31" s="91">
        <v>19</v>
      </c>
      <c r="S31" s="91">
        <v>18</v>
      </c>
      <c r="T31" s="91">
        <v>17</v>
      </c>
      <c r="U31" s="91">
        <v>16</v>
      </c>
      <c r="V31" s="91">
        <v>15</v>
      </c>
      <c r="W31" s="91">
        <v>14</v>
      </c>
      <c r="X31" s="91">
        <v>13</v>
      </c>
      <c r="Y31" s="91">
        <v>12</v>
      </c>
      <c r="Z31" s="91">
        <v>11</v>
      </c>
      <c r="AA31" s="91">
        <v>10</v>
      </c>
      <c r="AB31" s="91">
        <v>9</v>
      </c>
      <c r="AC31" s="91">
        <v>8</v>
      </c>
      <c r="AD31" s="91">
        <v>7</v>
      </c>
      <c r="AE31" s="91">
        <v>6</v>
      </c>
      <c r="AF31" s="91">
        <v>5</v>
      </c>
      <c r="AG31" s="91">
        <v>4</v>
      </c>
      <c r="AH31" s="91">
        <v>3</v>
      </c>
      <c r="AI31" s="91">
        <v>2</v>
      </c>
      <c r="AJ31" s="91">
        <v>1</v>
      </c>
      <c r="AK31" s="91">
        <v>0</v>
      </c>
    </row>
    <row r="32" spans="4:38" x14ac:dyDescent="0.4">
      <c r="D32" s="4" t="s">
        <v>39</v>
      </c>
      <c r="E32" s="18"/>
      <c r="F32" s="5" t="s">
        <v>9</v>
      </c>
      <c r="G32" s="104" t="s">
        <v>6</v>
      </c>
      <c r="H32" s="105"/>
      <c r="I32" s="105"/>
      <c r="J32" s="105"/>
      <c r="K32" s="105"/>
      <c r="L32" s="105"/>
      <c r="M32" s="106"/>
      <c r="N32" s="104" t="s">
        <v>7</v>
      </c>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6"/>
    </row>
    <row r="33" spans="3:50" ht="60" customHeight="1" x14ac:dyDescent="0.4">
      <c r="D33" s="6" t="s">
        <v>382</v>
      </c>
      <c r="E33" s="20">
        <v>124</v>
      </c>
      <c r="F33" s="7" t="s">
        <v>383</v>
      </c>
      <c r="G33" s="107" t="str">
        <f>"0x" &amp; DEC2HEX(E33,2)</f>
        <v>0x7C</v>
      </c>
      <c r="H33" s="108"/>
      <c r="I33" s="108"/>
      <c r="J33" s="108"/>
      <c r="K33" s="108"/>
      <c r="L33" s="108"/>
      <c r="M33" s="109"/>
      <c r="N33" s="107" t="s">
        <v>334</v>
      </c>
      <c r="O33" s="108"/>
      <c r="P33" s="108"/>
      <c r="Q33" s="108"/>
      <c r="R33" s="108"/>
      <c r="S33" s="108"/>
      <c r="T33" s="108"/>
      <c r="U33" s="108"/>
      <c r="V33" s="108"/>
      <c r="W33" s="108"/>
      <c r="X33" s="108"/>
      <c r="Y33" s="108"/>
      <c r="Z33" s="108"/>
      <c r="AA33" s="108"/>
      <c r="AB33" s="108"/>
      <c r="AC33" s="108"/>
      <c r="AD33" s="108"/>
      <c r="AE33" s="108"/>
      <c r="AF33" s="108"/>
      <c r="AG33" s="108"/>
      <c r="AH33" s="108"/>
      <c r="AI33" s="108"/>
      <c r="AJ33" s="109"/>
      <c r="AK33" s="90" t="s">
        <v>385</v>
      </c>
    </row>
    <row r="35" spans="3:50" x14ac:dyDescent="0.4">
      <c r="D35" s="12"/>
      <c r="E35" s="17" t="s">
        <v>41</v>
      </c>
      <c r="F35" s="13">
        <v>31</v>
      </c>
      <c r="G35" s="13">
        <v>30</v>
      </c>
      <c r="H35" s="13" t="s">
        <v>327</v>
      </c>
      <c r="I35" s="13" t="s">
        <v>328</v>
      </c>
      <c r="J35" s="13" t="s">
        <v>329</v>
      </c>
      <c r="K35" s="13" t="s">
        <v>330</v>
      </c>
      <c r="L35" s="13" t="s">
        <v>331</v>
      </c>
      <c r="M35" s="13" t="s">
        <v>332</v>
      </c>
      <c r="N35" s="12">
        <v>23</v>
      </c>
      <c r="O35" s="12">
        <v>22</v>
      </c>
      <c r="P35" s="12">
        <v>21</v>
      </c>
      <c r="Q35" s="12">
        <v>20</v>
      </c>
      <c r="R35" s="12">
        <v>19</v>
      </c>
      <c r="S35" s="12">
        <v>18</v>
      </c>
      <c r="T35" s="12">
        <v>17</v>
      </c>
      <c r="U35" s="12">
        <v>16</v>
      </c>
      <c r="V35" s="12">
        <v>15</v>
      </c>
      <c r="W35" s="12">
        <v>14</v>
      </c>
      <c r="X35" s="12">
        <v>13</v>
      </c>
      <c r="Y35" s="12">
        <v>12</v>
      </c>
      <c r="Z35" s="12">
        <v>11</v>
      </c>
      <c r="AA35" s="12">
        <v>10</v>
      </c>
      <c r="AB35" s="12">
        <v>9</v>
      </c>
      <c r="AC35" s="12">
        <v>8</v>
      </c>
      <c r="AD35" s="12">
        <v>7</v>
      </c>
      <c r="AE35" s="12">
        <v>6</v>
      </c>
      <c r="AF35" s="12">
        <v>5</v>
      </c>
      <c r="AG35" s="12">
        <v>4</v>
      </c>
      <c r="AH35" s="12">
        <v>3</v>
      </c>
      <c r="AI35" s="12">
        <v>2</v>
      </c>
      <c r="AJ35" s="12">
        <v>1</v>
      </c>
      <c r="AK35" s="12">
        <v>0</v>
      </c>
      <c r="AL35" s="16"/>
    </row>
    <row r="36" spans="3:50" ht="18" thickBot="1" x14ac:dyDescent="0.45">
      <c r="D36" s="4" t="s">
        <v>39</v>
      </c>
      <c r="E36" s="18"/>
      <c r="F36" s="5" t="s">
        <v>9</v>
      </c>
      <c r="G36" s="104" t="s">
        <v>6</v>
      </c>
      <c r="H36" s="105"/>
      <c r="I36" s="105"/>
      <c r="J36" s="105"/>
      <c r="K36" s="105"/>
      <c r="L36" s="105"/>
      <c r="M36" s="106"/>
      <c r="N36" s="104" t="s">
        <v>7</v>
      </c>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6"/>
      <c r="AL36" s="16"/>
    </row>
    <row r="37" spans="3:50" ht="59.4" customHeight="1" thickBot="1" x14ac:dyDescent="0.45">
      <c r="D37" s="6" t="s">
        <v>324</v>
      </c>
      <c r="E37" s="20">
        <v>125</v>
      </c>
      <c r="F37" s="7" t="s">
        <v>325</v>
      </c>
      <c r="G37" s="107" t="str">
        <f>"0x" &amp; DEC2HEX(E37,2)</f>
        <v>0x7D</v>
      </c>
      <c r="H37" s="108"/>
      <c r="I37" s="108"/>
      <c r="J37" s="108"/>
      <c r="K37" s="108"/>
      <c r="L37" s="108"/>
      <c r="M37" s="109"/>
      <c r="N37" s="107" t="s">
        <v>334</v>
      </c>
      <c r="O37" s="108"/>
      <c r="P37" s="108"/>
      <c r="Q37" s="108"/>
      <c r="R37" s="108"/>
      <c r="S37" s="108"/>
      <c r="T37" s="108"/>
      <c r="U37" s="109"/>
      <c r="V37" s="107" t="s">
        <v>333</v>
      </c>
      <c r="W37" s="108"/>
      <c r="X37" s="108"/>
      <c r="Y37" s="108"/>
      <c r="Z37" s="108"/>
      <c r="AA37" s="108"/>
      <c r="AB37" s="108"/>
      <c r="AC37" s="108"/>
      <c r="AD37" s="108"/>
      <c r="AE37" s="108"/>
      <c r="AF37" s="108"/>
      <c r="AG37" s="108"/>
      <c r="AH37" s="108"/>
      <c r="AI37" s="108"/>
      <c r="AJ37" s="108"/>
      <c r="AK37" s="109"/>
      <c r="AL37" s="16">
        <v>0</v>
      </c>
      <c r="AM37" s="129" t="s">
        <v>395</v>
      </c>
      <c r="AN37" s="130"/>
      <c r="AO37" s="130"/>
      <c r="AP37" s="130"/>
      <c r="AQ37" s="131"/>
      <c r="AT37" s="96" t="s">
        <v>355</v>
      </c>
      <c r="AV37" s="97" t="s">
        <v>356</v>
      </c>
      <c r="AW37" s="95"/>
      <c r="AX37" s="96" t="s">
        <v>357</v>
      </c>
    </row>
    <row r="38" spans="3:50" ht="52.8" customHeight="1" x14ac:dyDescent="0.4">
      <c r="D38" s="6" t="s">
        <v>343</v>
      </c>
      <c r="E38" s="20"/>
      <c r="F38" s="120" t="s">
        <v>334</v>
      </c>
      <c r="G38" s="121"/>
      <c r="H38" s="121"/>
      <c r="I38" s="121"/>
      <c r="J38" s="121"/>
      <c r="K38" s="121"/>
      <c r="L38" s="121"/>
      <c r="M38" s="122"/>
      <c r="N38" s="138" t="s">
        <v>351</v>
      </c>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40"/>
      <c r="AL38" s="16">
        <v>1</v>
      </c>
      <c r="AM38" s="132"/>
      <c r="AN38" s="133"/>
      <c r="AO38" s="133"/>
      <c r="AP38" s="133"/>
      <c r="AQ38" s="134"/>
      <c r="AT38" s="113" t="s">
        <v>374</v>
      </c>
      <c r="AV38" s="113" t="s">
        <v>375</v>
      </c>
      <c r="AX38" s="113" t="s">
        <v>358</v>
      </c>
    </row>
    <row r="39" spans="3:50" ht="41.4" customHeight="1" x14ac:dyDescent="0.4">
      <c r="C39" s="118" t="s">
        <v>352</v>
      </c>
      <c r="D39" s="141" t="s">
        <v>347</v>
      </c>
      <c r="E39" s="89"/>
      <c r="F39" s="120" t="s">
        <v>334</v>
      </c>
      <c r="G39" s="121"/>
      <c r="H39" s="121"/>
      <c r="I39" s="121"/>
      <c r="J39" s="121"/>
      <c r="K39" s="121"/>
      <c r="L39" s="121"/>
      <c r="M39" s="122"/>
      <c r="N39" s="120" t="s">
        <v>386</v>
      </c>
      <c r="O39" s="121"/>
      <c r="P39" s="121"/>
      <c r="Q39" s="121"/>
      <c r="R39" s="121"/>
      <c r="S39" s="121"/>
      <c r="T39" s="121"/>
      <c r="U39" s="122"/>
      <c r="V39" s="120" t="s">
        <v>387</v>
      </c>
      <c r="W39" s="121"/>
      <c r="X39" s="121"/>
      <c r="Y39" s="121"/>
      <c r="Z39" s="121"/>
      <c r="AA39" s="121"/>
      <c r="AB39" s="121"/>
      <c r="AC39" s="122"/>
      <c r="AD39" s="120" t="s">
        <v>388</v>
      </c>
      <c r="AE39" s="121"/>
      <c r="AF39" s="121"/>
      <c r="AG39" s="121"/>
      <c r="AH39" s="121"/>
      <c r="AI39" s="121"/>
      <c r="AJ39" s="121"/>
      <c r="AK39" s="122"/>
      <c r="AL39" s="16">
        <v>2</v>
      </c>
      <c r="AM39" s="132"/>
      <c r="AN39" s="133"/>
      <c r="AO39" s="133"/>
      <c r="AP39" s="133"/>
      <c r="AQ39" s="134"/>
      <c r="AT39" s="114"/>
      <c r="AV39" s="114"/>
      <c r="AX39" s="116"/>
    </row>
    <row r="40" spans="3:50" ht="41.4" customHeight="1" x14ac:dyDescent="0.4">
      <c r="C40" s="119"/>
      <c r="D40" s="142"/>
      <c r="E40" s="89"/>
      <c r="F40" s="120" t="s">
        <v>334</v>
      </c>
      <c r="G40" s="121"/>
      <c r="H40" s="121"/>
      <c r="I40" s="121"/>
      <c r="J40" s="121"/>
      <c r="K40" s="121"/>
      <c r="L40" s="121"/>
      <c r="M40" s="122"/>
      <c r="N40" s="120" t="s">
        <v>337</v>
      </c>
      <c r="O40" s="121"/>
      <c r="P40" s="121"/>
      <c r="Q40" s="121"/>
      <c r="R40" s="121"/>
      <c r="S40" s="121"/>
      <c r="T40" s="121"/>
      <c r="U40" s="122"/>
      <c r="V40" s="120" t="s">
        <v>336</v>
      </c>
      <c r="W40" s="121"/>
      <c r="X40" s="121"/>
      <c r="Y40" s="121"/>
      <c r="Z40" s="121"/>
      <c r="AA40" s="121"/>
      <c r="AB40" s="121"/>
      <c r="AC40" s="122"/>
      <c r="AD40" s="120" t="s">
        <v>335</v>
      </c>
      <c r="AE40" s="121"/>
      <c r="AF40" s="121"/>
      <c r="AG40" s="121"/>
      <c r="AH40" s="121"/>
      <c r="AI40" s="121"/>
      <c r="AJ40" s="121"/>
      <c r="AK40" s="122"/>
      <c r="AL40" s="16">
        <v>3</v>
      </c>
      <c r="AM40" s="132"/>
      <c r="AN40" s="133"/>
      <c r="AO40" s="133"/>
      <c r="AP40" s="133"/>
      <c r="AQ40" s="134"/>
      <c r="AT40" s="114"/>
      <c r="AV40" s="114"/>
      <c r="AX40" s="116"/>
    </row>
    <row r="41" spans="3:50" ht="41.4" customHeight="1" x14ac:dyDescent="0.4">
      <c r="C41" s="119"/>
      <c r="D41" s="142"/>
      <c r="E41" s="89"/>
      <c r="F41" s="120" t="s">
        <v>334</v>
      </c>
      <c r="G41" s="121"/>
      <c r="H41" s="121"/>
      <c r="I41" s="121"/>
      <c r="J41" s="121"/>
      <c r="K41" s="121"/>
      <c r="L41" s="121"/>
      <c r="M41" s="122"/>
      <c r="N41" s="120" t="s">
        <v>340</v>
      </c>
      <c r="O41" s="121"/>
      <c r="P41" s="121"/>
      <c r="Q41" s="121"/>
      <c r="R41" s="121"/>
      <c r="S41" s="121"/>
      <c r="T41" s="121"/>
      <c r="U41" s="122"/>
      <c r="V41" s="120" t="s">
        <v>339</v>
      </c>
      <c r="W41" s="121"/>
      <c r="X41" s="121"/>
      <c r="Y41" s="121"/>
      <c r="Z41" s="121"/>
      <c r="AA41" s="121"/>
      <c r="AB41" s="121"/>
      <c r="AC41" s="122"/>
      <c r="AD41" s="120" t="s">
        <v>338</v>
      </c>
      <c r="AE41" s="121"/>
      <c r="AF41" s="121"/>
      <c r="AG41" s="121"/>
      <c r="AH41" s="121"/>
      <c r="AI41" s="121"/>
      <c r="AJ41" s="121"/>
      <c r="AK41" s="122"/>
      <c r="AL41" s="16">
        <v>4</v>
      </c>
      <c r="AM41" s="132"/>
      <c r="AN41" s="133"/>
      <c r="AO41" s="133"/>
      <c r="AP41" s="133"/>
      <c r="AQ41" s="134"/>
      <c r="AT41" s="114"/>
      <c r="AV41" s="114"/>
      <c r="AX41" s="116"/>
    </row>
    <row r="42" spans="3:50" ht="52.8" x14ac:dyDescent="1.1000000000000001">
      <c r="C42" s="119"/>
      <c r="D42" s="142"/>
      <c r="E42" s="123" t="s">
        <v>341</v>
      </c>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5"/>
      <c r="AL42" s="16"/>
      <c r="AM42" s="135"/>
      <c r="AN42" s="136"/>
      <c r="AO42" s="136"/>
      <c r="AP42" s="136"/>
      <c r="AQ42" s="137"/>
      <c r="AT42" s="114"/>
      <c r="AV42" s="114"/>
      <c r="AX42" s="116"/>
    </row>
    <row r="43" spans="3:50" ht="41.4" customHeight="1" thickBot="1" x14ac:dyDescent="0.45">
      <c r="C43" s="119"/>
      <c r="D43" s="142"/>
      <c r="E43" s="89"/>
      <c r="F43" s="120" t="s">
        <v>334</v>
      </c>
      <c r="G43" s="121"/>
      <c r="H43" s="121"/>
      <c r="I43" s="121"/>
      <c r="J43" s="121"/>
      <c r="K43" s="121"/>
      <c r="L43" s="121"/>
      <c r="M43" s="122"/>
      <c r="N43" s="120" t="s">
        <v>376</v>
      </c>
      <c r="O43" s="121"/>
      <c r="P43" s="121"/>
      <c r="Q43" s="121"/>
      <c r="R43" s="121"/>
      <c r="S43" s="121"/>
      <c r="T43" s="121"/>
      <c r="U43" s="122"/>
      <c r="V43" s="120" t="s">
        <v>378</v>
      </c>
      <c r="W43" s="121"/>
      <c r="X43" s="121"/>
      <c r="Y43" s="121"/>
      <c r="Z43" s="121"/>
      <c r="AA43" s="121"/>
      <c r="AB43" s="121"/>
      <c r="AC43" s="122"/>
      <c r="AD43" s="120" t="s">
        <v>379</v>
      </c>
      <c r="AE43" s="121"/>
      <c r="AF43" s="121"/>
      <c r="AG43" s="121"/>
      <c r="AH43" s="121"/>
      <c r="AI43" s="121"/>
      <c r="AJ43" s="121"/>
      <c r="AK43" s="122"/>
      <c r="AL43" s="16">
        <v>14</v>
      </c>
      <c r="AT43" s="115"/>
      <c r="AV43" s="114"/>
      <c r="AX43" s="116"/>
    </row>
    <row r="44" spans="3:50" ht="41.4" customHeight="1" x14ac:dyDescent="0.4">
      <c r="C44" s="119"/>
      <c r="D44" s="143"/>
      <c r="E44" s="89"/>
      <c r="F44" s="120" t="s">
        <v>334</v>
      </c>
      <c r="G44" s="121"/>
      <c r="H44" s="121"/>
      <c r="I44" s="121"/>
      <c r="J44" s="121"/>
      <c r="K44" s="121"/>
      <c r="L44" s="121"/>
      <c r="M44" s="122"/>
      <c r="N44" s="120" t="s">
        <v>377</v>
      </c>
      <c r="O44" s="121"/>
      <c r="P44" s="121"/>
      <c r="Q44" s="121"/>
      <c r="R44" s="121"/>
      <c r="S44" s="121"/>
      <c r="T44" s="121"/>
      <c r="U44" s="122"/>
      <c r="V44" s="120" t="s">
        <v>381</v>
      </c>
      <c r="W44" s="121"/>
      <c r="X44" s="121"/>
      <c r="Y44" s="121"/>
      <c r="Z44" s="121"/>
      <c r="AA44" s="121"/>
      <c r="AB44" s="121"/>
      <c r="AC44" s="122"/>
      <c r="AD44" s="120" t="s">
        <v>380</v>
      </c>
      <c r="AE44" s="121"/>
      <c r="AF44" s="121"/>
      <c r="AG44" s="121"/>
      <c r="AH44" s="121"/>
      <c r="AI44" s="121"/>
      <c r="AJ44" s="121"/>
      <c r="AK44" s="122"/>
      <c r="AL44" s="16">
        <v>15</v>
      </c>
      <c r="AM44" s="118" t="s">
        <v>348</v>
      </c>
      <c r="AN44" s="119"/>
      <c r="AO44" s="119"/>
      <c r="AP44" s="119"/>
      <c r="AQ44" s="119"/>
      <c r="AV44" s="114"/>
      <c r="AX44" s="116"/>
    </row>
    <row r="45" spans="3:50" ht="52.8" customHeight="1" thickBot="1" x14ac:dyDescent="1.1499999999999999">
      <c r="C45" s="119"/>
      <c r="D45" s="126"/>
      <c r="E45" s="123" t="s">
        <v>341</v>
      </c>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5"/>
      <c r="AL45" s="16"/>
      <c r="AM45" s="118" t="s">
        <v>349</v>
      </c>
      <c r="AN45" s="118"/>
      <c r="AO45" s="118"/>
      <c r="AP45" s="118"/>
      <c r="AQ45" s="118"/>
      <c r="AV45" s="115"/>
      <c r="AX45" s="117"/>
    </row>
    <row r="46" spans="3:50" ht="41.4" customHeight="1" x14ac:dyDescent="0.4">
      <c r="C46" s="119"/>
      <c r="D46" s="127"/>
      <c r="E46" s="89"/>
      <c r="F46" s="120" t="s">
        <v>334</v>
      </c>
      <c r="G46" s="121"/>
      <c r="H46" s="121"/>
      <c r="I46" s="121"/>
      <c r="J46" s="121"/>
      <c r="K46" s="121"/>
      <c r="L46" s="121"/>
      <c r="M46" s="122"/>
      <c r="N46" s="120" t="s">
        <v>389</v>
      </c>
      <c r="O46" s="121"/>
      <c r="P46" s="121"/>
      <c r="Q46" s="121"/>
      <c r="R46" s="121"/>
      <c r="S46" s="121"/>
      <c r="T46" s="121"/>
      <c r="U46" s="122"/>
      <c r="V46" s="120" t="s">
        <v>390</v>
      </c>
      <c r="W46" s="121"/>
      <c r="X46" s="121"/>
      <c r="Y46" s="121"/>
      <c r="Z46" s="121"/>
      <c r="AA46" s="121"/>
      <c r="AB46" s="121"/>
      <c r="AC46" s="122"/>
      <c r="AD46" s="120" t="s">
        <v>391</v>
      </c>
      <c r="AE46" s="121"/>
      <c r="AF46" s="121"/>
      <c r="AG46" s="121"/>
      <c r="AH46" s="121"/>
      <c r="AI46" s="121"/>
      <c r="AJ46" s="121"/>
      <c r="AK46" s="122"/>
      <c r="AL46" s="16">
        <v>176</v>
      </c>
      <c r="AM46" s="118"/>
      <c r="AN46" s="118"/>
      <c r="AO46" s="118"/>
      <c r="AP46" s="118"/>
      <c r="AQ46" s="118"/>
    </row>
    <row r="47" spans="3:50" ht="41.4" customHeight="1" x14ac:dyDescent="0.4">
      <c r="C47" s="119"/>
      <c r="D47" s="128"/>
      <c r="E47" s="89"/>
      <c r="F47" s="120" t="s">
        <v>334</v>
      </c>
      <c r="G47" s="121"/>
      <c r="H47" s="121"/>
      <c r="I47" s="121"/>
      <c r="J47" s="121"/>
      <c r="K47" s="121"/>
      <c r="L47" s="121"/>
      <c r="M47" s="122"/>
      <c r="N47" s="120" t="s">
        <v>394</v>
      </c>
      <c r="O47" s="121"/>
      <c r="P47" s="121"/>
      <c r="Q47" s="121"/>
      <c r="R47" s="121"/>
      <c r="S47" s="121"/>
      <c r="T47" s="121"/>
      <c r="U47" s="122"/>
      <c r="V47" s="120" t="s">
        <v>393</v>
      </c>
      <c r="W47" s="121"/>
      <c r="X47" s="121"/>
      <c r="Y47" s="121"/>
      <c r="Z47" s="121"/>
      <c r="AA47" s="121"/>
      <c r="AB47" s="121"/>
      <c r="AC47" s="122"/>
      <c r="AD47" s="120" t="s">
        <v>392</v>
      </c>
      <c r="AE47" s="121"/>
      <c r="AF47" s="121"/>
      <c r="AG47" s="121"/>
      <c r="AH47" s="121"/>
      <c r="AI47" s="121"/>
      <c r="AJ47" s="121"/>
      <c r="AK47" s="122"/>
      <c r="AL47" s="16">
        <v>177</v>
      </c>
      <c r="AM47" s="118"/>
      <c r="AN47" s="118"/>
      <c r="AO47" s="118"/>
      <c r="AP47" s="118"/>
      <c r="AQ47" s="118"/>
    </row>
    <row r="52" spans="4:38" ht="18" thickBot="1" x14ac:dyDescent="0.45"/>
    <row r="53" spans="4:38" ht="49.8" customHeight="1" thickBot="1" x14ac:dyDescent="0.45">
      <c r="D53" s="101" t="s">
        <v>354</v>
      </c>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3"/>
    </row>
    <row r="54" spans="4:38" x14ac:dyDescent="0.4">
      <c r="D54" s="91"/>
      <c r="E54" s="92" t="s">
        <v>41</v>
      </c>
      <c r="F54" s="93">
        <v>31</v>
      </c>
      <c r="G54" s="93">
        <v>30</v>
      </c>
      <c r="H54" s="93" t="s">
        <v>327</v>
      </c>
      <c r="I54" s="93" t="s">
        <v>328</v>
      </c>
      <c r="J54" s="93" t="s">
        <v>329</v>
      </c>
      <c r="K54" s="93" t="s">
        <v>330</v>
      </c>
      <c r="L54" s="93" t="s">
        <v>331</v>
      </c>
      <c r="M54" s="93" t="s">
        <v>332</v>
      </c>
      <c r="N54" s="91">
        <v>23</v>
      </c>
      <c r="O54" s="91">
        <v>22</v>
      </c>
      <c r="P54" s="91">
        <v>21</v>
      </c>
      <c r="Q54" s="91">
        <v>20</v>
      </c>
      <c r="R54" s="91">
        <v>19</v>
      </c>
      <c r="S54" s="91">
        <v>18</v>
      </c>
      <c r="T54" s="91">
        <v>17</v>
      </c>
      <c r="U54" s="91">
        <v>16</v>
      </c>
      <c r="V54" s="91">
        <v>15</v>
      </c>
      <c r="W54" s="91">
        <v>14</v>
      </c>
      <c r="X54" s="91">
        <v>13</v>
      </c>
      <c r="Y54" s="91">
        <v>12</v>
      </c>
      <c r="Z54" s="91">
        <v>11</v>
      </c>
      <c r="AA54" s="91">
        <v>10</v>
      </c>
      <c r="AB54" s="91">
        <v>9</v>
      </c>
      <c r="AC54" s="91">
        <v>8</v>
      </c>
      <c r="AD54" s="91">
        <v>7</v>
      </c>
      <c r="AE54" s="91">
        <v>6</v>
      </c>
      <c r="AF54" s="91">
        <v>5</v>
      </c>
      <c r="AG54" s="91">
        <v>4</v>
      </c>
      <c r="AH54" s="91">
        <v>3</v>
      </c>
      <c r="AI54" s="91">
        <v>2</v>
      </c>
      <c r="AJ54" s="91">
        <v>1</v>
      </c>
      <c r="AK54" s="91">
        <v>0</v>
      </c>
    </row>
    <row r="55" spans="4:38" x14ac:dyDescent="0.4">
      <c r="D55" s="4" t="s">
        <v>39</v>
      </c>
      <c r="E55" s="18"/>
      <c r="F55" s="5" t="s">
        <v>9</v>
      </c>
      <c r="G55" s="104" t="s">
        <v>6</v>
      </c>
      <c r="H55" s="105"/>
      <c r="I55" s="105"/>
      <c r="J55" s="105"/>
      <c r="K55" s="105"/>
      <c r="L55" s="105"/>
      <c r="M55" s="106"/>
      <c r="N55" s="104" t="s">
        <v>7</v>
      </c>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6"/>
    </row>
    <row r="56" spans="4:38" ht="60" customHeight="1" x14ac:dyDescent="0.4">
      <c r="D56" s="6" t="s">
        <v>384</v>
      </c>
      <c r="E56" s="20">
        <v>126</v>
      </c>
      <c r="F56" s="7" t="s">
        <v>325</v>
      </c>
      <c r="G56" s="107" t="str">
        <f>"0x" &amp; DEC2HEX(E56,2)</f>
        <v>0x7E</v>
      </c>
      <c r="H56" s="108"/>
      <c r="I56" s="108"/>
      <c r="J56" s="108"/>
      <c r="K56" s="108"/>
      <c r="L56" s="108"/>
      <c r="M56" s="109"/>
      <c r="N56" s="107" t="s">
        <v>334</v>
      </c>
      <c r="O56" s="108"/>
      <c r="P56" s="108"/>
      <c r="Q56" s="108"/>
      <c r="R56" s="108"/>
      <c r="S56" s="108"/>
      <c r="T56" s="108"/>
      <c r="U56" s="108"/>
      <c r="V56" s="108"/>
      <c r="W56" s="108"/>
      <c r="X56" s="108"/>
      <c r="Y56" s="108"/>
      <c r="Z56" s="108"/>
      <c r="AA56" s="108"/>
      <c r="AB56" s="108"/>
      <c r="AC56" s="108"/>
      <c r="AD56" s="108"/>
      <c r="AE56" s="108"/>
      <c r="AF56" s="108"/>
      <c r="AG56" s="108"/>
      <c r="AH56" s="108"/>
      <c r="AI56" s="108"/>
      <c r="AJ56" s="109"/>
      <c r="AK56" s="90" t="s">
        <v>385</v>
      </c>
    </row>
    <row r="57" spans="4:38" ht="40.049999999999997" customHeight="1" x14ac:dyDescent="0.4"/>
    <row r="58" spans="4:38" x14ac:dyDescent="0.4">
      <c r="D58" s="12"/>
      <c r="E58" s="17" t="s">
        <v>41</v>
      </c>
      <c r="F58" s="13">
        <v>31</v>
      </c>
      <c r="G58" s="13">
        <v>30</v>
      </c>
      <c r="H58" s="13" t="s">
        <v>327</v>
      </c>
      <c r="I58" s="13" t="s">
        <v>328</v>
      </c>
      <c r="J58" s="13" t="s">
        <v>329</v>
      </c>
      <c r="K58" s="13" t="s">
        <v>330</v>
      </c>
      <c r="L58" s="13" t="s">
        <v>331</v>
      </c>
      <c r="M58" s="13" t="s">
        <v>332</v>
      </c>
      <c r="N58" s="12">
        <v>23</v>
      </c>
      <c r="O58" s="12">
        <v>22</v>
      </c>
      <c r="P58" s="12">
        <v>21</v>
      </c>
      <c r="Q58" s="12">
        <v>20</v>
      </c>
      <c r="R58" s="12">
        <v>19</v>
      </c>
      <c r="S58" s="12">
        <v>18</v>
      </c>
      <c r="T58" s="12">
        <v>17</v>
      </c>
      <c r="U58" s="12">
        <v>16</v>
      </c>
      <c r="V58" s="12">
        <v>15</v>
      </c>
      <c r="W58" s="12">
        <v>14</v>
      </c>
      <c r="X58" s="12">
        <v>13</v>
      </c>
      <c r="Y58" s="12">
        <v>12</v>
      </c>
      <c r="Z58" s="12">
        <v>11</v>
      </c>
      <c r="AA58" s="12">
        <v>10</v>
      </c>
      <c r="AB58" s="12">
        <v>9</v>
      </c>
      <c r="AC58" s="12">
        <v>8</v>
      </c>
      <c r="AD58" s="12">
        <v>7</v>
      </c>
      <c r="AE58" s="12">
        <v>6</v>
      </c>
      <c r="AF58" s="12">
        <v>5</v>
      </c>
      <c r="AG58" s="12">
        <v>4</v>
      </c>
      <c r="AH58" s="12">
        <v>3</v>
      </c>
      <c r="AI58" s="12">
        <v>2</v>
      </c>
      <c r="AJ58" s="12">
        <v>1</v>
      </c>
      <c r="AK58" s="12">
        <v>0</v>
      </c>
    </row>
    <row r="59" spans="4:38" x14ac:dyDescent="0.4">
      <c r="D59" s="4" t="s">
        <v>39</v>
      </c>
      <c r="E59" s="18"/>
      <c r="F59" s="5" t="s">
        <v>9</v>
      </c>
      <c r="G59" s="104" t="s">
        <v>6</v>
      </c>
      <c r="H59" s="105"/>
      <c r="I59" s="105"/>
      <c r="J59" s="105"/>
      <c r="K59" s="105"/>
      <c r="L59" s="105"/>
      <c r="M59" s="106"/>
      <c r="N59" s="104" t="s">
        <v>7</v>
      </c>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6"/>
    </row>
    <row r="60" spans="4:38" ht="40.049999999999997" customHeight="1" x14ac:dyDescent="0.4">
      <c r="D60" s="6" t="s">
        <v>342</v>
      </c>
      <c r="E60" s="20">
        <v>127</v>
      </c>
      <c r="F60" s="7" t="s">
        <v>326</v>
      </c>
      <c r="G60" s="107" t="str">
        <f>"0x" &amp; DEC2HEX(E60,2)</f>
        <v>0x7F</v>
      </c>
      <c r="H60" s="108"/>
      <c r="I60" s="108"/>
      <c r="J60" s="108"/>
      <c r="K60" s="108"/>
      <c r="L60" s="108"/>
      <c r="M60" s="109"/>
      <c r="N60" s="107" t="s">
        <v>334</v>
      </c>
      <c r="O60" s="108"/>
      <c r="P60" s="108"/>
      <c r="Q60" s="108"/>
      <c r="R60" s="108"/>
      <c r="S60" s="108"/>
      <c r="T60" s="108"/>
      <c r="U60" s="109"/>
      <c r="V60" s="107" t="s">
        <v>346</v>
      </c>
      <c r="W60" s="108"/>
      <c r="X60" s="108"/>
      <c r="Y60" s="108"/>
      <c r="Z60" s="108"/>
      <c r="AA60" s="108"/>
      <c r="AB60" s="108"/>
      <c r="AC60" s="108"/>
      <c r="AD60" s="108"/>
      <c r="AE60" s="108"/>
      <c r="AF60" s="108"/>
      <c r="AG60" s="108"/>
      <c r="AH60" s="108"/>
      <c r="AI60" s="108"/>
      <c r="AJ60" s="108"/>
      <c r="AK60" s="109"/>
      <c r="AL60" s="16">
        <v>0</v>
      </c>
    </row>
    <row r="61" spans="4:38" ht="40.049999999999997" customHeight="1" x14ac:dyDescent="0.4">
      <c r="D61" s="6" t="s">
        <v>344</v>
      </c>
      <c r="E61" s="20"/>
      <c r="F61" s="120" t="s">
        <v>334</v>
      </c>
      <c r="G61" s="121"/>
      <c r="H61" s="121"/>
      <c r="I61" s="121"/>
      <c r="J61" s="121"/>
      <c r="K61" s="121"/>
      <c r="L61" s="121"/>
      <c r="M61" s="122"/>
      <c r="N61" s="120" t="s">
        <v>345</v>
      </c>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2"/>
      <c r="AL61" s="16">
        <v>1</v>
      </c>
    </row>
    <row r="62" spans="4:38" ht="40.049999999999997" customHeight="1" x14ac:dyDescent="0.4">
      <c r="D62" s="141" t="s">
        <v>347</v>
      </c>
      <c r="E62" s="89"/>
      <c r="F62" s="120" t="s">
        <v>334</v>
      </c>
      <c r="G62" s="121"/>
      <c r="H62" s="121"/>
      <c r="I62" s="121"/>
      <c r="J62" s="121"/>
      <c r="K62" s="121"/>
      <c r="L62" s="121"/>
      <c r="M62" s="122"/>
      <c r="N62" s="120" t="s">
        <v>386</v>
      </c>
      <c r="O62" s="121"/>
      <c r="P62" s="121"/>
      <c r="Q62" s="121"/>
      <c r="R62" s="121"/>
      <c r="S62" s="121"/>
      <c r="T62" s="121"/>
      <c r="U62" s="122"/>
      <c r="V62" s="120" t="s">
        <v>387</v>
      </c>
      <c r="W62" s="121"/>
      <c r="X62" s="121"/>
      <c r="Y62" s="121"/>
      <c r="Z62" s="121"/>
      <c r="AA62" s="121"/>
      <c r="AB62" s="121"/>
      <c r="AC62" s="122"/>
      <c r="AD62" s="120" t="s">
        <v>388</v>
      </c>
      <c r="AE62" s="121"/>
      <c r="AF62" s="121"/>
      <c r="AG62" s="121"/>
      <c r="AH62" s="121"/>
      <c r="AI62" s="121"/>
      <c r="AJ62" s="121"/>
      <c r="AK62" s="122"/>
      <c r="AL62" s="16">
        <v>2</v>
      </c>
    </row>
    <row r="63" spans="4:38" ht="40.049999999999997" customHeight="1" x14ac:dyDescent="0.4">
      <c r="D63" s="144"/>
      <c r="E63" s="89"/>
      <c r="F63" s="120" t="s">
        <v>334</v>
      </c>
      <c r="G63" s="121"/>
      <c r="H63" s="121"/>
      <c r="I63" s="121"/>
      <c r="J63" s="121"/>
      <c r="K63" s="121"/>
      <c r="L63" s="121"/>
      <c r="M63" s="122"/>
      <c r="N63" s="120" t="s">
        <v>337</v>
      </c>
      <c r="O63" s="121"/>
      <c r="P63" s="121"/>
      <c r="Q63" s="121"/>
      <c r="R63" s="121"/>
      <c r="S63" s="121"/>
      <c r="T63" s="121"/>
      <c r="U63" s="122"/>
      <c r="V63" s="120" t="s">
        <v>336</v>
      </c>
      <c r="W63" s="121"/>
      <c r="X63" s="121"/>
      <c r="Y63" s="121"/>
      <c r="Z63" s="121"/>
      <c r="AA63" s="121"/>
      <c r="AB63" s="121"/>
      <c r="AC63" s="122"/>
      <c r="AD63" s="120" t="s">
        <v>335</v>
      </c>
      <c r="AE63" s="121"/>
      <c r="AF63" s="121"/>
      <c r="AG63" s="121"/>
      <c r="AH63" s="121"/>
      <c r="AI63" s="121"/>
      <c r="AJ63" s="121"/>
      <c r="AK63" s="122"/>
      <c r="AL63" s="16">
        <v>3</v>
      </c>
    </row>
    <row r="64" spans="4:38" ht="40.049999999999997" customHeight="1" x14ac:dyDescent="0.4">
      <c r="D64" s="144"/>
      <c r="E64" s="89"/>
      <c r="F64" s="120" t="s">
        <v>334</v>
      </c>
      <c r="G64" s="121"/>
      <c r="H64" s="121"/>
      <c r="I64" s="121"/>
      <c r="J64" s="121"/>
      <c r="K64" s="121"/>
      <c r="L64" s="121"/>
      <c r="M64" s="122"/>
      <c r="N64" s="120" t="s">
        <v>340</v>
      </c>
      <c r="O64" s="121"/>
      <c r="P64" s="121"/>
      <c r="Q64" s="121"/>
      <c r="R64" s="121"/>
      <c r="S64" s="121"/>
      <c r="T64" s="121"/>
      <c r="U64" s="122"/>
      <c r="V64" s="120" t="s">
        <v>339</v>
      </c>
      <c r="W64" s="121"/>
      <c r="X64" s="121"/>
      <c r="Y64" s="121"/>
      <c r="Z64" s="121"/>
      <c r="AA64" s="121"/>
      <c r="AB64" s="121"/>
      <c r="AC64" s="122"/>
      <c r="AD64" s="120" t="s">
        <v>338</v>
      </c>
      <c r="AE64" s="121"/>
      <c r="AF64" s="121"/>
      <c r="AG64" s="121"/>
      <c r="AH64" s="121"/>
      <c r="AI64" s="121"/>
      <c r="AJ64" s="121"/>
      <c r="AK64" s="122"/>
      <c r="AL64" s="16">
        <v>4</v>
      </c>
    </row>
    <row r="65" spans="4:38" ht="40.049999999999997" customHeight="1" x14ac:dyDescent="1.1000000000000001">
      <c r="D65" s="144"/>
      <c r="E65" s="123" t="s">
        <v>341</v>
      </c>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5"/>
      <c r="AL65" s="16"/>
    </row>
    <row r="66" spans="4:38" ht="40.049999999999997" customHeight="1" x14ac:dyDescent="0.4">
      <c r="D66" s="144"/>
      <c r="E66" s="89"/>
      <c r="F66" s="120" t="s">
        <v>334</v>
      </c>
      <c r="G66" s="121"/>
      <c r="H66" s="121"/>
      <c r="I66" s="121"/>
      <c r="J66" s="121"/>
      <c r="K66" s="121"/>
      <c r="L66" s="121"/>
      <c r="M66" s="122"/>
      <c r="N66" s="120" t="s">
        <v>376</v>
      </c>
      <c r="O66" s="121"/>
      <c r="P66" s="121"/>
      <c r="Q66" s="121"/>
      <c r="R66" s="121"/>
      <c r="S66" s="121"/>
      <c r="T66" s="121"/>
      <c r="U66" s="122"/>
      <c r="V66" s="120" t="s">
        <v>378</v>
      </c>
      <c r="W66" s="121"/>
      <c r="X66" s="121"/>
      <c r="Y66" s="121"/>
      <c r="Z66" s="121"/>
      <c r="AA66" s="121"/>
      <c r="AB66" s="121"/>
      <c r="AC66" s="122"/>
      <c r="AD66" s="120" t="s">
        <v>379</v>
      </c>
      <c r="AE66" s="121"/>
      <c r="AF66" s="121"/>
      <c r="AG66" s="121"/>
      <c r="AH66" s="121"/>
      <c r="AI66" s="121"/>
      <c r="AJ66" s="121"/>
      <c r="AK66" s="122"/>
      <c r="AL66" s="16">
        <v>14</v>
      </c>
    </row>
    <row r="67" spans="4:38" ht="40.049999999999997" customHeight="1" x14ac:dyDescent="0.4">
      <c r="D67" s="145"/>
      <c r="E67" s="89"/>
      <c r="F67" s="120" t="s">
        <v>334</v>
      </c>
      <c r="G67" s="121"/>
      <c r="H67" s="121"/>
      <c r="I67" s="121"/>
      <c r="J67" s="121"/>
      <c r="K67" s="121"/>
      <c r="L67" s="121"/>
      <c r="M67" s="122"/>
      <c r="N67" s="120" t="s">
        <v>377</v>
      </c>
      <c r="O67" s="121"/>
      <c r="P67" s="121"/>
      <c r="Q67" s="121"/>
      <c r="R67" s="121"/>
      <c r="S67" s="121"/>
      <c r="T67" s="121"/>
      <c r="U67" s="122"/>
      <c r="V67" s="120" t="s">
        <v>381</v>
      </c>
      <c r="W67" s="121"/>
      <c r="X67" s="121"/>
      <c r="Y67" s="121"/>
      <c r="Z67" s="121"/>
      <c r="AA67" s="121"/>
      <c r="AB67" s="121"/>
      <c r="AC67" s="122"/>
      <c r="AD67" s="120" t="s">
        <v>380</v>
      </c>
      <c r="AE67" s="121"/>
      <c r="AF67" s="121"/>
      <c r="AG67" s="121"/>
      <c r="AH67" s="121"/>
      <c r="AI67" s="121"/>
      <c r="AJ67" s="121"/>
      <c r="AK67" s="122"/>
      <c r="AL67" s="16">
        <v>15</v>
      </c>
    </row>
    <row r="68" spans="4:38" ht="40.049999999999997" customHeight="1" x14ac:dyDescent="1.1000000000000001">
      <c r="D68" s="126"/>
      <c r="E68" s="123" t="s">
        <v>341</v>
      </c>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5"/>
      <c r="AL68" s="16"/>
    </row>
    <row r="69" spans="4:38" ht="40.049999999999997" customHeight="1" x14ac:dyDescent="0.4">
      <c r="D69" s="127"/>
      <c r="E69" s="89"/>
      <c r="F69" s="120" t="s">
        <v>334</v>
      </c>
      <c r="G69" s="121"/>
      <c r="H69" s="121"/>
      <c r="I69" s="121"/>
      <c r="J69" s="121"/>
      <c r="K69" s="121"/>
      <c r="L69" s="121"/>
      <c r="M69" s="122"/>
      <c r="N69" s="120" t="s">
        <v>389</v>
      </c>
      <c r="O69" s="121"/>
      <c r="P69" s="121"/>
      <c r="Q69" s="121"/>
      <c r="R69" s="121"/>
      <c r="S69" s="121"/>
      <c r="T69" s="121"/>
      <c r="U69" s="122"/>
      <c r="V69" s="120" t="s">
        <v>390</v>
      </c>
      <c r="W69" s="121"/>
      <c r="X69" s="121"/>
      <c r="Y69" s="121"/>
      <c r="Z69" s="121"/>
      <c r="AA69" s="121"/>
      <c r="AB69" s="121"/>
      <c r="AC69" s="122"/>
      <c r="AD69" s="120" t="s">
        <v>391</v>
      </c>
      <c r="AE69" s="121"/>
      <c r="AF69" s="121"/>
      <c r="AG69" s="121"/>
      <c r="AH69" s="121"/>
      <c r="AI69" s="121"/>
      <c r="AJ69" s="121"/>
      <c r="AK69" s="122"/>
      <c r="AL69" s="16">
        <v>176</v>
      </c>
    </row>
    <row r="70" spans="4:38" ht="40.049999999999997" customHeight="1" x14ac:dyDescent="0.4">
      <c r="D70" s="128"/>
      <c r="E70" s="89"/>
      <c r="F70" s="120" t="s">
        <v>334</v>
      </c>
      <c r="G70" s="121"/>
      <c r="H70" s="121"/>
      <c r="I70" s="121"/>
      <c r="J70" s="121"/>
      <c r="K70" s="121"/>
      <c r="L70" s="121"/>
      <c r="M70" s="122"/>
      <c r="N70" s="120" t="s">
        <v>394</v>
      </c>
      <c r="O70" s="121"/>
      <c r="P70" s="121"/>
      <c r="Q70" s="121"/>
      <c r="R70" s="121"/>
      <c r="S70" s="121"/>
      <c r="T70" s="121"/>
      <c r="U70" s="122"/>
      <c r="V70" s="120" t="s">
        <v>393</v>
      </c>
      <c r="W70" s="121"/>
      <c r="X70" s="121"/>
      <c r="Y70" s="121"/>
      <c r="Z70" s="121"/>
      <c r="AA70" s="121"/>
      <c r="AB70" s="121"/>
      <c r="AC70" s="122"/>
      <c r="AD70" s="120" t="s">
        <v>392</v>
      </c>
      <c r="AE70" s="121"/>
      <c r="AF70" s="121"/>
      <c r="AG70" s="121"/>
      <c r="AH70" s="121"/>
      <c r="AI70" s="121"/>
      <c r="AJ70" s="121"/>
      <c r="AK70" s="122"/>
      <c r="AL70" s="16">
        <v>177</v>
      </c>
    </row>
  </sheetData>
  <mergeCells count="144">
    <mergeCell ref="D3:AK3"/>
    <mergeCell ref="G5:M5"/>
    <mergeCell ref="N5:AK5"/>
    <mergeCell ref="G6:M6"/>
    <mergeCell ref="N6:AK6"/>
    <mergeCell ref="R28:AK28"/>
    <mergeCell ref="N33:AJ33"/>
    <mergeCell ref="D62:D67"/>
    <mergeCell ref="F62:M62"/>
    <mergeCell ref="N62:U62"/>
    <mergeCell ref="V62:AC62"/>
    <mergeCell ref="AD62:AK62"/>
    <mergeCell ref="F63:M63"/>
    <mergeCell ref="N63:U63"/>
    <mergeCell ref="V63:AC63"/>
    <mergeCell ref="AD66:AK66"/>
    <mergeCell ref="V66:AC66"/>
    <mergeCell ref="N67:U67"/>
    <mergeCell ref="V67:AC67"/>
    <mergeCell ref="AD67:AK67"/>
    <mergeCell ref="AD63:AK63"/>
    <mergeCell ref="F64:M64"/>
    <mergeCell ref="N64:U64"/>
    <mergeCell ref="V64:AC64"/>
    <mergeCell ref="AD64:AK64"/>
    <mergeCell ref="E65:AK65"/>
    <mergeCell ref="AD47:AK47"/>
    <mergeCell ref="AD44:AK44"/>
    <mergeCell ref="F40:M40"/>
    <mergeCell ref="N40:U40"/>
    <mergeCell ref="V40:AC40"/>
    <mergeCell ref="AD40:AK40"/>
    <mergeCell ref="F41:M41"/>
    <mergeCell ref="F61:M61"/>
    <mergeCell ref="N61:AK61"/>
    <mergeCell ref="N41:U41"/>
    <mergeCell ref="V41:AC41"/>
    <mergeCell ref="AD41:AK41"/>
    <mergeCell ref="C39:C47"/>
    <mergeCell ref="F67:M67"/>
    <mergeCell ref="N66:U66"/>
    <mergeCell ref="F66:M66"/>
    <mergeCell ref="G55:M55"/>
    <mergeCell ref="N55:AK55"/>
    <mergeCell ref="N38:AK38"/>
    <mergeCell ref="V37:AK37"/>
    <mergeCell ref="N36:AK36"/>
    <mergeCell ref="D45:D47"/>
    <mergeCell ref="G56:M56"/>
    <mergeCell ref="D39:D44"/>
    <mergeCell ref="E42:AK42"/>
    <mergeCell ref="E45:AK45"/>
    <mergeCell ref="F46:M46"/>
    <mergeCell ref="N46:U46"/>
    <mergeCell ref="V46:AC46"/>
    <mergeCell ref="AD46:AK46"/>
    <mergeCell ref="F43:M43"/>
    <mergeCell ref="N43:U43"/>
    <mergeCell ref="V43:AC43"/>
    <mergeCell ref="AD43:AK43"/>
    <mergeCell ref="F44:M44"/>
    <mergeCell ref="N44:U44"/>
    <mergeCell ref="E68:AK68"/>
    <mergeCell ref="D68:D70"/>
    <mergeCell ref="D30:AL30"/>
    <mergeCell ref="D53:AK53"/>
    <mergeCell ref="AT38:AT43"/>
    <mergeCell ref="AD70:AK70"/>
    <mergeCell ref="V70:AC70"/>
    <mergeCell ref="N70:U70"/>
    <mergeCell ref="F70:M70"/>
    <mergeCell ref="AD69:AK69"/>
    <mergeCell ref="V69:AC69"/>
    <mergeCell ref="N69:U69"/>
    <mergeCell ref="F69:M69"/>
    <mergeCell ref="N60:U60"/>
    <mergeCell ref="V44:AC44"/>
    <mergeCell ref="G60:M60"/>
    <mergeCell ref="N56:AJ56"/>
    <mergeCell ref="AM37:AQ42"/>
    <mergeCell ref="V60:AK60"/>
    <mergeCell ref="G59:M59"/>
    <mergeCell ref="N59:AK59"/>
    <mergeCell ref="F47:M47"/>
    <mergeCell ref="N47:U47"/>
    <mergeCell ref="V47:AC47"/>
    <mergeCell ref="AV38:AV45"/>
    <mergeCell ref="AX38:AX45"/>
    <mergeCell ref="G10:M10"/>
    <mergeCell ref="O12:U12"/>
    <mergeCell ref="V12:AK12"/>
    <mergeCell ref="G13:M13"/>
    <mergeCell ref="O13:U13"/>
    <mergeCell ref="V13:AK13"/>
    <mergeCell ref="G14:M14"/>
    <mergeCell ref="O14:U14"/>
    <mergeCell ref="V14:AK14"/>
    <mergeCell ref="AM45:AQ47"/>
    <mergeCell ref="G11:M11"/>
    <mergeCell ref="G12:M12"/>
    <mergeCell ref="AM44:AQ44"/>
    <mergeCell ref="N37:U37"/>
    <mergeCell ref="F38:M38"/>
    <mergeCell ref="F39:M39"/>
    <mergeCell ref="N39:U39"/>
    <mergeCell ref="V39:AC39"/>
    <mergeCell ref="AD39:AK39"/>
    <mergeCell ref="G36:M36"/>
    <mergeCell ref="G37:M37"/>
    <mergeCell ref="G32:M32"/>
    <mergeCell ref="G15:M15"/>
    <mergeCell ref="O15:U15"/>
    <mergeCell ref="V15:AK15"/>
    <mergeCell ref="G16:M16"/>
    <mergeCell ref="O16:U16"/>
    <mergeCell ref="V16:AK16"/>
    <mergeCell ref="D8:AL8"/>
    <mergeCell ref="N10:AK10"/>
    <mergeCell ref="V11:AK11"/>
    <mergeCell ref="O11:U11"/>
    <mergeCell ref="G19:M19"/>
    <mergeCell ref="O19:U19"/>
    <mergeCell ref="V19:AK19"/>
    <mergeCell ref="G20:M20"/>
    <mergeCell ref="O20:U20"/>
    <mergeCell ref="V20:AK20"/>
    <mergeCell ref="G17:M17"/>
    <mergeCell ref="O17:U17"/>
    <mergeCell ref="V17:AK17"/>
    <mergeCell ref="G18:M18"/>
    <mergeCell ref="O18:U18"/>
    <mergeCell ref="V18:AK18"/>
    <mergeCell ref="D25:AK25"/>
    <mergeCell ref="G27:M27"/>
    <mergeCell ref="N27:AK27"/>
    <mergeCell ref="G28:M28"/>
    <mergeCell ref="G21:M21"/>
    <mergeCell ref="O21:U21"/>
    <mergeCell ref="V21:AK21"/>
    <mergeCell ref="G22:M22"/>
    <mergeCell ref="O22:U22"/>
    <mergeCell ref="V22:AK22"/>
    <mergeCell ref="N32:AK32"/>
    <mergeCell ref="G33:M33"/>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7.399999999999999" x14ac:dyDescent="0.4"/>
  <cols>
    <col min="4" max="4" width="25.5" customWidth="1"/>
    <col min="5" max="5" width="13.09765625" customWidth="1"/>
    <col min="6" max="6" width="38" style="2" customWidth="1"/>
    <col min="7" max="7" width="15.09765625" style="1" customWidth="1"/>
    <col min="8" max="8" width="41.5" style="19" customWidth="1"/>
    <col min="9" max="9" width="54" customWidth="1"/>
    <col min="10" max="10" width="26.8984375" customWidth="1"/>
  </cols>
  <sheetData>
    <row r="4" spans="4:10" ht="18" thickBot="1" x14ac:dyDescent="0.45"/>
    <row r="5" spans="4:10" ht="18" thickBot="1" x14ac:dyDescent="0.45">
      <c r="D5" s="79"/>
      <c r="E5" s="72" t="s">
        <v>237</v>
      </c>
      <c r="F5" s="72" t="s">
        <v>238</v>
      </c>
      <c r="G5" s="72" t="s">
        <v>239</v>
      </c>
      <c r="H5" s="72" t="s">
        <v>240</v>
      </c>
      <c r="I5" s="80" t="s">
        <v>71</v>
      </c>
      <c r="J5" s="72" t="s">
        <v>309</v>
      </c>
    </row>
    <row r="6" spans="4:10" ht="18" thickBot="1" x14ac:dyDescent="0.45">
      <c r="D6" s="146" t="s">
        <v>303</v>
      </c>
      <c r="E6" s="73">
        <v>1</v>
      </c>
      <c r="F6" s="74" t="s">
        <v>241</v>
      </c>
      <c r="G6" s="74" t="s">
        <v>242</v>
      </c>
      <c r="H6" s="74" t="s">
        <v>243</v>
      </c>
      <c r="I6" s="78" t="s">
        <v>244</v>
      </c>
      <c r="J6" s="74"/>
    </row>
    <row r="7" spans="4:10" ht="18" thickBot="1" x14ac:dyDescent="0.45">
      <c r="D7" s="147"/>
      <c r="E7" s="73">
        <v>2</v>
      </c>
      <c r="F7" s="74" t="s">
        <v>245</v>
      </c>
      <c r="G7" s="74" t="s">
        <v>242</v>
      </c>
      <c r="H7" s="74" t="s">
        <v>243</v>
      </c>
      <c r="I7" s="78" t="s">
        <v>246</v>
      </c>
      <c r="J7" s="74"/>
    </row>
    <row r="8" spans="4:10" ht="18" thickBot="1" x14ac:dyDescent="0.45">
      <c r="D8" s="147"/>
      <c r="E8" s="73">
        <v>3</v>
      </c>
      <c r="F8" s="74" t="s">
        <v>247</v>
      </c>
      <c r="G8" s="74" t="s">
        <v>242</v>
      </c>
      <c r="H8" s="74" t="s">
        <v>243</v>
      </c>
      <c r="I8" s="78" t="s">
        <v>248</v>
      </c>
      <c r="J8" s="74"/>
    </row>
    <row r="9" spans="4:10" ht="18" thickBot="1" x14ac:dyDescent="0.45">
      <c r="D9" s="147"/>
      <c r="E9" s="73">
        <v>4</v>
      </c>
      <c r="F9" s="74" t="s">
        <v>249</v>
      </c>
      <c r="G9" s="74" t="s">
        <v>242</v>
      </c>
      <c r="H9" s="74" t="s">
        <v>243</v>
      </c>
      <c r="I9" s="78" t="s">
        <v>250</v>
      </c>
      <c r="J9" s="74"/>
    </row>
    <row r="10" spans="4:10" ht="18" thickBot="1" x14ac:dyDescent="0.45">
      <c r="D10" s="147"/>
      <c r="E10" s="73">
        <v>5</v>
      </c>
      <c r="F10" s="74" t="s">
        <v>251</v>
      </c>
      <c r="G10" s="74" t="s">
        <v>252</v>
      </c>
      <c r="H10" s="74" t="s">
        <v>243</v>
      </c>
      <c r="I10" s="78" t="s">
        <v>253</v>
      </c>
      <c r="J10" s="74"/>
    </row>
    <row r="11" spans="4:10" ht="18" thickBot="1" x14ac:dyDescent="0.45">
      <c r="D11" s="147"/>
      <c r="E11" s="73">
        <v>6</v>
      </c>
      <c r="F11" s="74" t="s">
        <v>254</v>
      </c>
      <c r="G11" s="74" t="s">
        <v>252</v>
      </c>
      <c r="H11" s="74" t="s">
        <v>243</v>
      </c>
      <c r="I11" s="78" t="s">
        <v>255</v>
      </c>
      <c r="J11" s="74"/>
    </row>
    <row r="12" spans="4:10" ht="18" thickBot="1" x14ac:dyDescent="0.45">
      <c r="D12" s="147"/>
      <c r="E12" s="73">
        <v>7</v>
      </c>
      <c r="F12" s="74" t="s">
        <v>256</v>
      </c>
      <c r="G12" s="74" t="s">
        <v>242</v>
      </c>
      <c r="H12" s="74" t="s">
        <v>243</v>
      </c>
      <c r="I12" s="78" t="s">
        <v>257</v>
      </c>
      <c r="J12" s="74"/>
    </row>
    <row r="13" spans="4:10" ht="18" thickBot="1" x14ac:dyDescent="0.45">
      <c r="D13" s="147"/>
      <c r="E13" s="73">
        <v>8</v>
      </c>
      <c r="F13" s="74" t="s">
        <v>258</v>
      </c>
      <c r="G13" s="74" t="s">
        <v>242</v>
      </c>
      <c r="H13" s="74" t="s">
        <v>243</v>
      </c>
      <c r="I13" s="78" t="s">
        <v>259</v>
      </c>
      <c r="J13" s="74"/>
    </row>
    <row r="14" spans="4:10" ht="18" thickBot="1" x14ac:dyDescent="0.45">
      <c r="D14" s="147"/>
      <c r="E14" s="73">
        <v>9</v>
      </c>
      <c r="F14" s="74" t="s">
        <v>260</v>
      </c>
      <c r="G14" s="74" t="s">
        <v>242</v>
      </c>
      <c r="H14" s="74" t="s">
        <v>243</v>
      </c>
      <c r="I14" s="78" t="s">
        <v>261</v>
      </c>
      <c r="J14" s="74"/>
    </row>
    <row r="15" spans="4:10" ht="18" thickBot="1" x14ac:dyDescent="0.45">
      <c r="D15" s="147"/>
      <c r="E15" s="73">
        <v>10</v>
      </c>
      <c r="F15" s="74" t="s">
        <v>262</v>
      </c>
      <c r="G15" s="74" t="s">
        <v>242</v>
      </c>
      <c r="H15" s="74" t="s">
        <v>243</v>
      </c>
      <c r="I15" s="78" t="s">
        <v>263</v>
      </c>
      <c r="J15" s="74"/>
    </row>
    <row r="16" spans="4:10" ht="18" thickBot="1" x14ac:dyDescent="0.45">
      <c r="D16" s="147"/>
      <c r="E16" s="73">
        <v>11</v>
      </c>
      <c r="F16" s="74" t="s">
        <v>264</v>
      </c>
      <c r="G16" s="74" t="s">
        <v>252</v>
      </c>
      <c r="H16" s="74" t="s">
        <v>243</v>
      </c>
      <c r="I16" s="78" t="s">
        <v>265</v>
      </c>
      <c r="J16" s="74"/>
    </row>
    <row r="17" spans="4:10" ht="18" thickBot="1" x14ac:dyDescent="0.45">
      <c r="D17" s="148"/>
      <c r="E17" s="73">
        <v>12</v>
      </c>
      <c r="F17" s="74" t="s">
        <v>266</v>
      </c>
      <c r="G17" s="74" t="s">
        <v>252</v>
      </c>
      <c r="H17" s="74" t="s">
        <v>243</v>
      </c>
      <c r="I17" s="78" t="s">
        <v>267</v>
      </c>
      <c r="J17" s="74"/>
    </row>
    <row r="18" spans="4:10" ht="18" thickBot="1" x14ac:dyDescent="0.45">
      <c r="D18" s="146" t="s">
        <v>268</v>
      </c>
      <c r="E18" s="73">
        <v>13</v>
      </c>
      <c r="F18" s="74" t="s">
        <v>269</v>
      </c>
      <c r="G18" s="74" t="s">
        <v>252</v>
      </c>
      <c r="H18" s="74" t="s">
        <v>243</v>
      </c>
      <c r="I18" s="78" t="s">
        <v>270</v>
      </c>
      <c r="J18" s="74"/>
    </row>
    <row r="19" spans="4:10" ht="18" thickBot="1" x14ac:dyDescent="0.45">
      <c r="D19" s="149"/>
      <c r="E19" s="73">
        <v>14</v>
      </c>
      <c r="F19" s="74" t="s">
        <v>271</v>
      </c>
      <c r="G19" s="74" t="s">
        <v>252</v>
      </c>
      <c r="H19" s="74" t="s">
        <v>243</v>
      </c>
      <c r="I19" s="78" t="s">
        <v>272</v>
      </c>
      <c r="J19" s="74"/>
    </row>
    <row r="20" spans="4:10" ht="18" thickBot="1" x14ac:dyDescent="0.45">
      <c r="D20" s="149"/>
      <c r="E20" s="73">
        <v>15</v>
      </c>
      <c r="F20" s="74" t="s">
        <v>289</v>
      </c>
      <c r="G20" s="74" t="s">
        <v>273</v>
      </c>
      <c r="H20" s="74" t="s">
        <v>243</v>
      </c>
      <c r="I20" s="78" t="s">
        <v>274</v>
      </c>
      <c r="J20" s="74"/>
    </row>
    <row r="21" spans="4:10" ht="18" thickBot="1" x14ac:dyDescent="0.45">
      <c r="D21" s="149"/>
      <c r="E21" s="73">
        <v>16</v>
      </c>
      <c r="F21" s="74" t="s">
        <v>290</v>
      </c>
      <c r="G21" s="74" t="s">
        <v>273</v>
      </c>
      <c r="H21" s="74" t="s">
        <v>243</v>
      </c>
      <c r="I21" s="78" t="s">
        <v>275</v>
      </c>
      <c r="J21" s="74"/>
    </row>
    <row r="22" spans="4:10" ht="18" thickBot="1" x14ac:dyDescent="0.45">
      <c r="D22" s="149"/>
      <c r="E22" s="73">
        <v>17</v>
      </c>
      <c r="F22" s="75" t="s">
        <v>276</v>
      </c>
      <c r="G22" s="74" t="s">
        <v>277</v>
      </c>
      <c r="H22" s="74" t="s">
        <v>278</v>
      </c>
      <c r="I22" s="78" t="s">
        <v>279</v>
      </c>
      <c r="J22" s="74"/>
    </row>
    <row r="23" spans="4:10" ht="18" thickBot="1" x14ac:dyDescent="0.45">
      <c r="D23" s="149"/>
      <c r="E23" s="73">
        <v>18</v>
      </c>
      <c r="F23" s="74" t="s">
        <v>292</v>
      </c>
      <c r="G23" s="74" t="s">
        <v>273</v>
      </c>
      <c r="H23" s="74" t="s">
        <v>243</v>
      </c>
      <c r="I23" s="78" t="s">
        <v>274</v>
      </c>
      <c r="J23" s="71" t="s">
        <v>305</v>
      </c>
    </row>
    <row r="24" spans="4:10" ht="18" thickBot="1" x14ac:dyDescent="0.45">
      <c r="D24" s="150"/>
      <c r="E24" s="73">
        <v>19</v>
      </c>
      <c r="F24" s="74" t="s">
        <v>293</v>
      </c>
      <c r="G24" s="74" t="s">
        <v>273</v>
      </c>
      <c r="H24" s="74" t="s">
        <v>243</v>
      </c>
      <c r="I24" s="78" t="s">
        <v>275</v>
      </c>
      <c r="J24" s="71" t="s">
        <v>306</v>
      </c>
    </row>
    <row r="25" spans="4:10" ht="18" thickBot="1" x14ac:dyDescent="0.45">
      <c r="D25" s="151" t="s">
        <v>304</v>
      </c>
      <c r="E25" s="73">
        <v>20</v>
      </c>
      <c r="F25" s="77" t="s">
        <v>286</v>
      </c>
      <c r="G25" s="77" t="s">
        <v>273</v>
      </c>
      <c r="H25" s="77" t="s">
        <v>287</v>
      </c>
      <c r="I25" s="81" t="s">
        <v>288</v>
      </c>
      <c r="J25" s="71" t="s">
        <v>307</v>
      </c>
    </row>
    <row r="26" spans="4:10" ht="18" thickBot="1" x14ac:dyDescent="0.45">
      <c r="D26" s="149"/>
      <c r="E26" s="73">
        <v>21</v>
      </c>
      <c r="F26" s="75" t="s">
        <v>280</v>
      </c>
      <c r="G26" s="74" t="s">
        <v>277</v>
      </c>
      <c r="H26" s="74" t="s">
        <v>278</v>
      </c>
      <c r="I26" s="78" t="s">
        <v>281</v>
      </c>
      <c r="J26" s="74"/>
    </row>
    <row r="27" spans="4:10" ht="18" thickBot="1" x14ac:dyDescent="0.45">
      <c r="D27" s="150"/>
      <c r="E27" s="73">
        <v>22</v>
      </c>
      <c r="F27" s="76" t="s">
        <v>282</v>
      </c>
      <c r="G27" s="74" t="s">
        <v>252</v>
      </c>
      <c r="H27" s="74" t="s">
        <v>283</v>
      </c>
      <c r="I27" s="78" t="s">
        <v>284</v>
      </c>
      <c r="J27" s="74"/>
    </row>
  </sheetData>
  <mergeCells count="3">
    <mergeCell ref="D6:D17"/>
    <mergeCell ref="D18:D24"/>
    <mergeCell ref="D25:D27"/>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60"/>
  <sheetViews>
    <sheetView zoomScale="70" zoomScaleNormal="70" workbookViewId="0">
      <selection activeCell="F36" sqref="F36"/>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2" width="4.69921875" customWidth="1"/>
    <col min="33" max="33" width="6" bestFit="1" customWidth="1"/>
    <col min="34" max="34" width="49" customWidth="1"/>
  </cols>
  <sheetData>
    <row r="1" spans="6:34"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152</v>
      </c>
    </row>
    <row r="2" spans="6:34"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6:34" ht="43.8" x14ac:dyDescent="0.4">
      <c r="F3" s="6" t="s">
        <v>10</v>
      </c>
      <c r="G3" s="7" t="s">
        <v>28</v>
      </c>
      <c r="H3" s="20">
        <v>0</v>
      </c>
      <c r="I3" s="8" t="str">
        <f t="shared" ref="I3:I11" si="0">"0x" &amp; DEC2HEX(H3,2)</f>
        <v>0x00</v>
      </c>
      <c r="J3" s="190" t="s">
        <v>23</v>
      </c>
      <c r="K3" s="190"/>
      <c r="L3" s="190"/>
      <c r="M3" s="190"/>
      <c r="N3" s="190"/>
      <c r="O3" s="190"/>
      <c r="P3" s="190"/>
      <c r="Q3" s="190"/>
      <c r="R3" s="15" t="s">
        <v>40</v>
      </c>
      <c r="S3" s="190" t="s">
        <v>49</v>
      </c>
      <c r="T3" s="190"/>
      <c r="U3" s="15" t="s">
        <v>36</v>
      </c>
      <c r="V3" s="9">
        <v>0</v>
      </c>
      <c r="W3" s="15" t="s">
        <v>52</v>
      </c>
      <c r="X3" s="15" t="s">
        <v>20</v>
      </c>
      <c r="Y3" s="15" t="s">
        <v>19</v>
      </c>
      <c r="Z3" s="15" t="s">
        <v>18</v>
      </c>
      <c r="AA3" s="15" t="s">
        <v>17</v>
      </c>
      <c r="AB3" s="15" t="s">
        <v>16</v>
      </c>
      <c r="AC3" s="15" t="s">
        <v>15</v>
      </c>
      <c r="AD3" s="15" t="s">
        <v>14</v>
      </c>
      <c r="AE3" s="15" t="s">
        <v>13</v>
      </c>
      <c r="AF3" s="15" t="s">
        <v>12</v>
      </c>
      <c r="AG3" s="15" t="s">
        <v>11</v>
      </c>
      <c r="AH3" t="s">
        <v>155</v>
      </c>
    </row>
    <row r="4" spans="6:34" x14ac:dyDescent="0.4">
      <c r="F4" s="6" t="s">
        <v>37</v>
      </c>
      <c r="G4" s="7" t="s">
        <v>28</v>
      </c>
      <c r="H4" s="20">
        <v>1</v>
      </c>
      <c r="I4" s="8" t="str">
        <f t="shared" si="0"/>
        <v>0x01</v>
      </c>
      <c r="J4" s="190" t="s">
        <v>24</v>
      </c>
      <c r="K4" s="190"/>
      <c r="L4" s="190"/>
      <c r="M4" s="190"/>
      <c r="N4" s="190"/>
      <c r="O4" s="190"/>
      <c r="P4" s="190"/>
      <c r="Q4" s="190"/>
      <c r="R4" s="9"/>
      <c r="S4" s="190" t="s">
        <v>27</v>
      </c>
      <c r="T4" s="190"/>
      <c r="U4" s="190"/>
      <c r="V4" s="190"/>
      <c r="W4" s="190"/>
      <c r="X4" s="190" t="s">
        <v>26</v>
      </c>
      <c r="Y4" s="190"/>
      <c r="Z4" s="190"/>
      <c r="AA4" s="190"/>
      <c r="AB4" s="190" t="s">
        <v>25</v>
      </c>
      <c r="AC4" s="190"/>
      <c r="AD4" s="190"/>
      <c r="AE4" s="190"/>
      <c r="AF4" s="190"/>
      <c r="AG4" s="190"/>
    </row>
    <row r="5" spans="6:34" x14ac:dyDescent="0.4">
      <c r="F5" s="6" t="s">
        <v>38</v>
      </c>
      <c r="G5" s="7" t="s">
        <v>28</v>
      </c>
      <c r="H5" s="20">
        <v>2</v>
      </c>
      <c r="I5" s="8" t="str">
        <f t="shared" si="0"/>
        <v>0x02</v>
      </c>
      <c r="J5" s="9">
        <v>0</v>
      </c>
      <c r="K5" s="9">
        <v>0</v>
      </c>
      <c r="L5" s="9">
        <v>0</v>
      </c>
      <c r="M5" s="9">
        <v>0</v>
      </c>
      <c r="N5" s="107" t="s">
        <v>350</v>
      </c>
      <c r="O5" s="181"/>
      <c r="P5" s="181"/>
      <c r="Q5" s="181"/>
      <c r="R5" s="181"/>
      <c r="S5" s="181"/>
      <c r="T5" s="181"/>
      <c r="U5" s="181"/>
      <c r="V5" s="181"/>
      <c r="W5" s="181"/>
      <c r="X5" s="181"/>
      <c r="Y5" s="181"/>
      <c r="Z5" s="181"/>
      <c r="AA5" s="181"/>
      <c r="AB5" s="181"/>
      <c r="AC5" s="181"/>
      <c r="AD5" s="181"/>
      <c r="AE5" s="181"/>
      <c r="AF5" s="181"/>
      <c r="AG5" s="182"/>
    </row>
    <row r="6" spans="6:34" x14ac:dyDescent="0.4">
      <c r="F6" s="6" t="s">
        <v>29</v>
      </c>
      <c r="G6" s="7" t="s">
        <v>9</v>
      </c>
      <c r="H6" s="20">
        <v>3</v>
      </c>
      <c r="I6" s="8" t="str">
        <f t="shared" si="0"/>
        <v>0x03</v>
      </c>
      <c r="J6" s="190" t="s">
        <v>30</v>
      </c>
      <c r="K6" s="190"/>
      <c r="L6" s="190"/>
      <c r="M6" s="190"/>
      <c r="N6" s="190"/>
      <c r="O6" s="190"/>
      <c r="P6" s="190"/>
      <c r="Q6" s="190"/>
      <c r="R6" s="190"/>
      <c r="S6" s="190"/>
      <c r="T6" s="190"/>
      <c r="U6" s="190"/>
      <c r="V6" s="190"/>
      <c r="W6" s="190"/>
      <c r="X6" s="190"/>
      <c r="Y6" s="190"/>
      <c r="Z6" s="190"/>
      <c r="AA6" s="190"/>
      <c r="AB6" s="190"/>
      <c r="AC6" s="190"/>
      <c r="AD6" s="190"/>
      <c r="AE6" s="190"/>
      <c r="AF6" s="190"/>
      <c r="AG6" s="190"/>
    </row>
    <row r="7" spans="6:34" x14ac:dyDescent="0.4">
      <c r="F7" s="9" t="s">
        <v>82</v>
      </c>
      <c r="G7" s="52" t="s">
        <v>9</v>
      </c>
      <c r="H7" s="53">
        <v>4</v>
      </c>
      <c r="I7" s="54"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4">
      <c r="F8" s="9" t="s">
        <v>82</v>
      </c>
      <c r="G8" s="52" t="s">
        <v>9</v>
      </c>
      <c r="H8" s="53">
        <v>5</v>
      </c>
      <c r="I8" s="54"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4">
      <c r="F9" s="6" t="s">
        <v>22</v>
      </c>
      <c r="G9" s="7" t="s">
        <v>9</v>
      </c>
      <c r="H9" s="20">
        <v>6</v>
      </c>
      <c r="I9" s="8" t="str">
        <f t="shared" si="0"/>
        <v>0x06</v>
      </c>
      <c r="J9" s="9">
        <v>0</v>
      </c>
      <c r="K9" s="9">
        <v>0</v>
      </c>
      <c r="L9" s="9">
        <v>0</v>
      </c>
      <c r="M9" s="9">
        <v>0</v>
      </c>
      <c r="N9" s="183" t="s">
        <v>146</v>
      </c>
      <c r="O9" s="184"/>
      <c r="P9" s="184"/>
      <c r="Q9" s="184"/>
      <c r="R9" s="184"/>
      <c r="S9" s="184"/>
      <c r="T9" s="184"/>
      <c r="U9" s="184"/>
      <c r="V9" s="184"/>
      <c r="W9" s="184"/>
      <c r="X9" s="184"/>
      <c r="Y9" s="185"/>
      <c r="Z9" s="183" t="s">
        <v>145</v>
      </c>
      <c r="AA9" s="184"/>
      <c r="AB9" s="184"/>
      <c r="AC9" s="184"/>
      <c r="AD9" s="184"/>
      <c r="AE9" s="185"/>
      <c r="AF9" s="107" t="s">
        <v>5</v>
      </c>
      <c r="AG9" s="109"/>
      <c r="AH9" t="s">
        <v>153</v>
      </c>
    </row>
    <row r="10" spans="6:34" ht="47.25" customHeight="1" thickBot="1" x14ac:dyDescent="0.45">
      <c r="F10" s="21" t="s">
        <v>21</v>
      </c>
      <c r="G10" s="22" t="s">
        <v>9</v>
      </c>
      <c r="H10" s="23">
        <v>7</v>
      </c>
      <c r="I10" s="24" t="str">
        <f t="shared" si="0"/>
        <v>0x07</v>
      </c>
      <c r="J10" s="55">
        <v>0</v>
      </c>
      <c r="K10" s="55">
        <v>0</v>
      </c>
      <c r="L10" s="55">
        <v>0</v>
      </c>
      <c r="M10" s="55">
        <v>0</v>
      </c>
      <c r="N10" s="55">
        <v>0</v>
      </c>
      <c r="O10" s="55">
        <v>0</v>
      </c>
      <c r="P10" s="15" t="s">
        <v>140</v>
      </c>
      <c r="Q10" s="15" t="s">
        <v>133</v>
      </c>
      <c r="R10" s="186" t="s">
        <v>193</v>
      </c>
      <c r="S10" s="187"/>
      <c r="T10" s="187"/>
      <c r="U10" s="187"/>
      <c r="V10" s="187"/>
      <c r="W10" s="188"/>
      <c r="X10" s="186" t="s">
        <v>192</v>
      </c>
      <c r="Y10" s="187"/>
      <c r="Z10" s="187"/>
      <c r="AA10" s="187"/>
      <c r="AB10" s="187"/>
      <c r="AC10" s="187"/>
      <c r="AD10" s="187"/>
      <c r="AE10" s="187"/>
      <c r="AF10" s="187"/>
      <c r="AG10" s="188"/>
      <c r="AH10" t="s">
        <v>154</v>
      </c>
    </row>
    <row r="11" spans="6:34" x14ac:dyDescent="0.4">
      <c r="F11" s="25" t="s">
        <v>42</v>
      </c>
      <c r="G11" s="26" t="s">
        <v>9</v>
      </c>
      <c r="H11" s="27">
        <v>8</v>
      </c>
      <c r="I11" s="28" t="str">
        <f t="shared" si="0"/>
        <v>0x08</v>
      </c>
      <c r="J11" s="152" t="s">
        <v>125</v>
      </c>
      <c r="K11" s="153"/>
      <c r="L11" s="153"/>
      <c r="M11" s="153"/>
      <c r="N11" s="153"/>
      <c r="O11" s="153"/>
      <c r="P11" s="154"/>
      <c r="Q11" s="154"/>
      <c r="R11" s="154"/>
      <c r="S11" s="154"/>
      <c r="T11" s="154"/>
      <c r="U11" s="154"/>
      <c r="V11" s="154"/>
      <c r="W11" s="154"/>
      <c r="X11" s="154"/>
      <c r="Y11" s="154"/>
      <c r="Z11" s="154"/>
      <c r="AA11" s="154"/>
      <c r="AB11" s="154"/>
      <c r="AC11" s="154"/>
      <c r="AD11" s="154"/>
      <c r="AE11" s="154"/>
      <c r="AF11" s="154"/>
      <c r="AG11" s="155"/>
      <c r="AH11" t="s">
        <v>157</v>
      </c>
    </row>
    <row r="12" spans="6:34" x14ac:dyDescent="0.4">
      <c r="F12" s="162" t="s">
        <v>43</v>
      </c>
      <c r="G12" s="163"/>
      <c r="H12" s="163"/>
      <c r="I12" s="164"/>
      <c r="J12" s="156"/>
      <c r="K12" s="157"/>
      <c r="L12" s="157"/>
      <c r="M12" s="157"/>
      <c r="N12" s="157"/>
      <c r="O12" s="157"/>
      <c r="P12" s="157"/>
      <c r="Q12" s="157"/>
      <c r="R12" s="157"/>
      <c r="S12" s="157"/>
      <c r="T12" s="157"/>
      <c r="U12" s="157"/>
      <c r="V12" s="157"/>
      <c r="W12" s="157"/>
      <c r="X12" s="157"/>
      <c r="Y12" s="157"/>
      <c r="Z12" s="157"/>
      <c r="AA12" s="157"/>
      <c r="AB12" s="157"/>
      <c r="AC12" s="157"/>
      <c r="AD12" s="157"/>
      <c r="AE12" s="157"/>
      <c r="AF12" s="157"/>
      <c r="AG12" s="158"/>
    </row>
    <row r="13" spans="6:34" ht="18" thickBot="1" x14ac:dyDescent="0.45">
      <c r="F13" s="29" t="s">
        <v>117</v>
      </c>
      <c r="G13" s="30" t="s">
        <v>9</v>
      </c>
      <c r="H13" s="31">
        <v>11</v>
      </c>
      <c r="I13" s="32" t="str">
        <f>"0x" &amp; DEC2HEX(H13,2)</f>
        <v>0x0B</v>
      </c>
      <c r="J13" s="159"/>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1"/>
    </row>
    <row r="14" spans="6:34" x14ac:dyDescent="0.4">
      <c r="F14" s="33" t="s">
        <v>44</v>
      </c>
      <c r="G14" s="34" t="s">
        <v>9</v>
      </c>
      <c r="H14" s="35">
        <v>12</v>
      </c>
      <c r="I14" s="36" t="str">
        <f>"0x" &amp; DEC2HEX(H14,2)</f>
        <v>0x0C</v>
      </c>
      <c r="J14" s="165" t="s">
        <v>126</v>
      </c>
      <c r="K14" s="166"/>
      <c r="L14" s="166"/>
      <c r="M14" s="166"/>
      <c r="N14" s="166"/>
      <c r="O14" s="166"/>
      <c r="P14" s="167"/>
      <c r="Q14" s="167"/>
      <c r="R14" s="167"/>
      <c r="S14" s="167"/>
      <c r="T14" s="167"/>
      <c r="U14" s="167"/>
      <c r="V14" s="167"/>
      <c r="W14" s="167"/>
      <c r="X14" s="167"/>
      <c r="Y14" s="167"/>
      <c r="Z14" s="167"/>
      <c r="AA14" s="167"/>
      <c r="AB14" s="167"/>
      <c r="AC14" s="167"/>
      <c r="AD14" s="167"/>
      <c r="AE14" s="167"/>
      <c r="AF14" s="167"/>
      <c r="AG14" s="168"/>
    </row>
    <row r="15" spans="6:34" x14ac:dyDescent="0.4">
      <c r="F15" s="175" t="s">
        <v>43</v>
      </c>
      <c r="G15" s="176"/>
      <c r="H15" s="176"/>
      <c r="I15" s="177"/>
      <c r="J15" s="169"/>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1"/>
    </row>
    <row r="16" spans="6:34" ht="18" thickBot="1" x14ac:dyDescent="0.45">
      <c r="F16" s="37" t="s">
        <v>118</v>
      </c>
      <c r="G16" s="38" t="s">
        <v>9</v>
      </c>
      <c r="H16" s="39">
        <v>15</v>
      </c>
      <c r="I16" s="40" t="str">
        <f>"0x" &amp; DEC2HEX(H16,2)</f>
        <v>0x0F</v>
      </c>
      <c r="J16" s="172"/>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4"/>
    </row>
    <row r="17" spans="6:33" x14ac:dyDescent="0.4">
      <c r="F17" s="25" t="s">
        <v>45</v>
      </c>
      <c r="G17" s="26" t="s">
        <v>9</v>
      </c>
      <c r="H17" s="27">
        <v>16</v>
      </c>
      <c r="I17" s="28" t="str">
        <f>"0x" &amp; DEC2HEX(H17,2)</f>
        <v>0x10</v>
      </c>
      <c r="J17" s="152" t="s">
        <v>127</v>
      </c>
      <c r="K17" s="153"/>
      <c r="L17" s="153"/>
      <c r="M17" s="153"/>
      <c r="N17" s="153"/>
      <c r="O17" s="153"/>
      <c r="P17" s="154"/>
      <c r="Q17" s="154"/>
      <c r="R17" s="154"/>
      <c r="S17" s="154"/>
      <c r="T17" s="154"/>
      <c r="U17" s="154"/>
      <c r="V17" s="154"/>
      <c r="W17" s="154"/>
      <c r="X17" s="154"/>
      <c r="Y17" s="154"/>
      <c r="Z17" s="154"/>
      <c r="AA17" s="154"/>
      <c r="AB17" s="154"/>
      <c r="AC17" s="154"/>
      <c r="AD17" s="154"/>
      <c r="AE17" s="154"/>
      <c r="AF17" s="154"/>
      <c r="AG17" s="155"/>
    </row>
    <row r="18" spans="6:33" x14ac:dyDescent="0.4">
      <c r="F18" s="162" t="s">
        <v>43</v>
      </c>
      <c r="G18" s="163"/>
      <c r="H18" s="163"/>
      <c r="I18" s="164"/>
      <c r="J18" s="156"/>
      <c r="K18" s="157"/>
      <c r="L18" s="157"/>
      <c r="M18" s="157"/>
      <c r="N18" s="157"/>
      <c r="O18" s="157"/>
      <c r="P18" s="157"/>
      <c r="Q18" s="157"/>
      <c r="R18" s="157"/>
      <c r="S18" s="157"/>
      <c r="T18" s="157"/>
      <c r="U18" s="157"/>
      <c r="V18" s="157"/>
      <c r="W18" s="157"/>
      <c r="X18" s="157"/>
      <c r="Y18" s="157"/>
      <c r="Z18" s="157"/>
      <c r="AA18" s="157"/>
      <c r="AB18" s="157"/>
      <c r="AC18" s="157"/>
      <c r="AD18" s="157"/>
      <c r="AE18" s="157"/>
      <c r="AF18" s="157"/>
      <c r="AG18" s="158"/>
    </row>
    <row r="19" spans="6:33" ht="18" thickBot="1" x14ac:dyDescent="0.45">
      <c r="F19" s="29" t="s">
        <v>119</v>
      </c>
      <c r="G19" s="30" t="s">
        <v>9</v>
      </c>
      <c r="H19" s="31">
        <v>19</v>
      </c>
      <c r="I19" s="32" t="str">
        <f>"0x" &amp; DEC2HEX(H19,2)</f>
        <v>0x13</v>
      </c>
      <c r="J19" s="159"/>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1"/>
    </row>
    <row r="20" spans="6:33" x14ac:dyDescent="0.4">
      <c r="F20" s="33" t="s">
        <v>46</v>
      </c>
      <c r="G20" s="34" t="s">
        <v>9</v>
      </c>
      <c r="H20" s="35">
        <v>20</v>
      </c>
      <c r="I20" s="36" t="str">
        <f>"0x" &amp; DEC2HEX(H20,2)</f>
        <v>0x14</v>
      </c>
      <c r="J20" s="165" t="s">
        <v>128</v>
      </c>
      <c r="K20" s="166"/>
      <c r="L20" s="166"/>
      <c r="M20" s="166"/>
      <c r="N20" s="166"/>
      <c r="O20" s="166"/>
      <c r="P20" s="167"/>
      <c r="Q20" s="167"/>
      <c r="R20" s="167"/>
      <c r="S20" s="167"/>
      <c r="T20" s="167"/>
      <c r="U20" s="167"/>
      <c r="V20" s="167"/>
      <c r="W20" s="167"/>
      <c r="X20" s="167"/>
      <c r="Y20" s="167"/>
      <c r="Z20" s="167"/>
      <c r="AA20" s="167"/>
      <c r="AB20" s="167"/>
      <c r="AC20" s="167"/>
      <c r="AD20" s="167"/>
      <c r="AE20" s="167"/>
      <c r="AF20" s="167"/>
      <c r="AG20" s="168"/>
    </row>
    <row r="21" spans="6:33" x14ac:dyDescent="0.4">
      <c r="F21" s="175" t="s">
        <v>43</v>
      </c>
      <c r="G21" s="176"/>
      <c r="H21" s="176"/>
      <c r="I21" s="177"/>
      <c r="J21" s="169"/>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1"/>
    </row>
    <row r="22" spans="6:33" ht="18" thickBot="1" x14ac:dyDescent="0.45">
      <c r="F22" s="37" t="s">
        <v>120</v>
      </c>
      <c r="G22" s="38" t="s">
        <v>9</v>
      </c>
      <c r="H22" s="39">
        <v>23</v>
      </c>
      <c r="I22" s="40" t="str">
        <f>"0x" &amp; DEC2HEX(H22,2)</f>
        <v>0x17</v>
      </c>
      <c r="J22" s="172"/>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4"/>
    </row>
    <row r="23" spans="6:33" x14ac:dyDescent="0.4">
      <c r="F23" s="25" t="s">
        <v>47</v>
      </c>
      <c r="G23" s="26" t="s">
        <v>9</v>
      </c>
      <c r="H23" s="27">
        <v>24</v>
      </c>
      <c r="I23" s="28" t="str">
        <f>"0x" &amp; DEC2HEX(H23,2)</f>
        <v>0x18</v>
      </c>
      <c r="J23" s="152" t="s">
        <v>129</v>
      </c>
      <c r="K23" s="153"/>
      <c r="L23" s="153"/>
      <c r="M23" s="153"/>
      <c r="N23" s="153"/>
      <c r="O23" s="153"/>
      <c r="P23" s="154"/>
      <c r="Q23" s="154"/>
      <c r="R23" s="154"/>
      <c r="S23" s="154"/>
      <c r="T23" s="154"/>
      <c r="U23" s="154"/>
      <c r="V23" s="154"/>
      <c r="W23" s="154"/>
      <c r="X23" s="154"/>
      <c r="Y23" s="154"/>
      <c r="Z23" s="154"/>
      <c r="AA23" s="154"/>
      <c r="AB23" s="154"/>
      <c r="AC23" s="154"/>
      <c r="AD23" s="154"/>
      <c r="AE23" s="154"/>
      <c r="AF23" s="154"/>
      <c r="AG23" s="155"/>
    </row>
    <row r="24" spans="6:33" x14ac:dyDescent="0.4">
      <c r="F24" s="162" t="s">
        <v>43</v>
      </c>
      <c r="G24" s="163"/>
      <c r="H24" s="163"/>
      <c r="I24" s="164"/>
      <c r="J24" s="156"/>
      <c r="K24" s="157"/>
      <c r="L24" s="157"/>
      <c r="M24" s="157"/>
      <c r="N24" s="157"/>
      <c r="O24" s="157"/>
      <c r="P24" s="157"/>
      <c r="Q24" s="157"/>
      <c r="R24" s="157"/>
      <c r="S24" s="157"/>
      <c r="T24" s="157"/>
      <c r="U24" s="157"/>
      <c r="V24" s="157"/>
      <c r="W24" s="157"/>
      <c r="X24" s="157"/>
      <c r="Y24" s="157"/>
      <c r="Z24" s="157"/>
      <c r="AA24" s="157"/>
      <c r="AB24" s="157"/>
      <c r="AC24" s="157"/>
      <c r="AD24" s="157"/>
      <c r="AE24" s="157"/>
      <c r="AF24" s="157"/>
      <c r="AG24" s="158"/>
    </row>
    <row r="25" spans="6:33" ht="18" thickBot="1" x14ac:dyDescent="0.45">
      <c r="F25" s="29" t="s">
        <v>121</v>
      </c>
      <c r="G25" s="30" t="s">
        <v>9</v>
      </c>
      <c r="H25" s="31">
        <v>27</v>
      </c>
      <c r="I25" s="32" t="str">
        <f>"0x" &amp; DEC2HEX(H25,2)</f>
        <v>0x1B</v>
      </c>
      <c r="J25" s="159"/>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1"/>
    </row>
    <row r="26" spans="6:33" x14ac:dyDescent="0.4">
      <c r="F26" s="33" t="s">
        <v>48</v>
      </c>
      <c r="G26" s="34" t="s">
        <v>9</v>
      </c>
      <c r="H26" s="35">
        <v>28</v>
      </c>
      <c r="I26" s="36" t="str">
        <f>"0x" &amp; DEC2HEX(H26,2)</f>
        <v>0x1C</v>
      </c>
      <c r="J26" s="165" t="s">
        <v>130</v>
      </c>
      <c r="K26" s="166"/>
      <c r="L26" s="166"/>
      <c r="M26" s="166"/>
      <c r="N26" s="166"/>
      <c r="O26" s="166"/>
      <c r="P26" s="167"/>
      <c r="Q26" s="167"/>
      <c r="R26" s="167"/>
      <c r="S26" s="167"/>
      <c r="T26" s="167"/>
      <c r="U26" s="167"/>
      <c r="V26" s="167"/>
      <c r="W26" s="167"/>
      <c r="X26" s="167"/>
      <c r="Y26" s="167"/>
      <c r="Z26" s="167"/>
      <c r="AA26" s="167"/>
      <c r="AB26" s="167"/>
      <c r="AC26" s="167"/>
      <c r="AD26" s="167"/>
      <c r="AE26" s="167"/>
      <c r="AF26" s="167"/>
      <c r="AG26" s="168"/>
    </row>
    <row r="27" spans="6:33" x14ac:dyDescent="0.4">
      <c r="F27" s="175" t="s">
        <v>43</v>
      </c>
      <c r="G27" s="176"/>
      <c r="H27" s="176"/>
      <c r="I27" s="177"/>
      <c r="J27" s="169"/>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1"/>
    </row>
    <row r="28" spans="6:33" ht="18" thickBot="1" x14ac:dyDescent="0.45">
      <c r="F28" s="37" t="s">
        <v>122</v>
      </c>
      <c r="G28" s="38" t="s">
        <v>9</v>
      </c>
      <c r="H28" s="39">
        <v>31</v>
      </c>
      <c r="I28" s="40" t="str">
        <f>"0x" &amp; DEC2HEX(H28,2)</f>
        <v>0x1F</v>
      </c>
      <c r="J28" s="172"/>
      <c r="K28" s="173"/>
      <c r="L28" s="173"/>
      <c r="M28" s="173"/>
      <c r="N28" s="173"/>
      <c r="O28" s="173"/>
      <c r="P28" s="173"/>
      <c r="Q28" s="173"/>
      <c r="R28" s="173"/>
      <c r="S28" s="173"/>
      <c r="T28" s="173"/>
      <c r="U28" s="173"/>
      <c r="V28" s="173"/>
      <c r="W28" s="173"/>
      <c r="X28" s="173"/>
      <c r="Y28" s="173"/>
      <c r="Z28" s="173"/>
      <c r="AA28" s="173"/>
      <c r="AB28" s="173"/>
      <c r="AC28" s="173"/>
      <c r="AD28" s="173"/>
      <c r="AE28" s="173"/>
      <c r="AF28" s="173"/>
      <c r="AG28" s="174"/>
    </row>
    <row r="29" spans="6:33" x14ac:dyDescent="0.4">
      <c r="F29" s="25" t="s">
        <v>50</v>
      </c>
      <c r="G29" s="26" t="s">
        <v>9</v>
      </c>
      <c r="H29" s="27">
        <v>32</v>
      </c>
      <c r="I29" s="28" t="str">
        <f>"0x" &amp; DEC2HEX(H29,2)</f>
        <v>0x20</v>
      </c>
      <c r="J29" s="152" t="s">
        <v>131</v>
      </c>
      <c r="K29" s="153"/>
      <c r="L29" s="153"/>
      <c r="M29" s="153"/>
      <c r="N29" s="153"/>
      <c r="O29" s="153"/>
      <c r="P29" s="154"/>
      <c r="Q29" s="154"/>
      <c r="R29" s="154"/>
      <c r="S29" s="154"/>
      <c r="T29" s="154"/>
      <c r="U29" s="154"/>
      <c r="V29" s="154"/>
      <c r="W29" s="154"/>
      <c r="X29" s="154"/>
      <c r="Y29" s="154"/>
      <c r="Z29" s="154"/>
      <c r="AA29" s="154"/>
      <c r="AB29" s="154"/>
      <c r="AC29" s="154"/>
      <c r="AD29" s="154"/>
      <c r="AE29" s="154"/>
      <c r="AF29" s="154"/>
      <c r="AG29" s="155"/>
    </row>
    <row r="30" spans="6:33" x14ac:dyDescent="0.4">
      <c r="F30" s="162" t="s">
        <v>43</v>
      </c>
      <c r="G30" s="163"/>
      <c r="H30" s="163"/>
      <c r="I30" s="164"/>
      <c r="J30" s="156"/>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8"/>
    </row>
    <row r="31" spans="6:33" ht="18" thickBot="1" x14ac:dyDescent="0.45">
      <c r="F31" s="29" t="s">
        <v>123</v>
      </c>
      <c r="G31" s="30" t="s">
        <v>9</v>
      </c>
      <c r="H31" s="31">
        <v>35</v>
      </c>
      <c r="I31" s="32" t="str">
        <f>"0x" &amp; DEC2HEX(H31,2)</f>
        <v>0x23</v>
      </c>
      <c r="J31" s="159"/>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1"/>
    </row>
    <row r="32" spans="6:33" x14ac:dyDescent="0.4">
      <c r="F32" s="33" t="s">
        <v>51</v>
      </c>
      <c r="G32" s="34" t="s">
        <v>9</v>
      </c>
      <c r="H32" s="35">
        <v>36</v>
      </c>
      <c r="I32" s="36" t="str">
        <f>"0x" &amp; DEC2HEX(H32,2)</f>
        <v>0x24</v>
      </c>
      <c r="J32" s="165" t="s">
        <v>132</v>
      </c>
      <c r="K32" s="166"/>
      <c r="L32" s="166"/>
      <c r="M32" s="166"/>
      <c r="N32" s="166"/>
      <c r="O32" s="166"/>
      <c r="P32" s="167"/>
      <c r="Q32" s="167"/>
      <c r="R32" s="167"/>
      <c r="S32" s="167"/>
      <c r="T32" s="167"/>
      <c r="U32" s="167"/>
      <c r="V32" s="167"/>
      <c r="W32" s="167"/>
      <c r="X32" s="167"/>
      <c r="Y32" s="167"/>
      <c r="Z32" s="167"/>
      <c r="AA32" s="167"/>
      <c r="AB32" s="167"/>
      <c r="AC32" s="167"/>
      <c r="AD32" s="167"/>
      <c r="AE32" s="167"/>
      <c r="AF32" s="167"/>
      <c r="AG32" s="168"/>
    </row>
    <row r="33" spans="5:34" x14ac:dyDescent="0.4">
      <c r="F33" s="175" t="s">
        <v>43</v>
      </c>
      <c r="G33" s="176"/>
      <c r="H33" s="176"/>
      <c r="I33" s="177"/>
      <c r="J33" s="169"/>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1"/>
    </row>
    <row r="34" spans="5:34" ht="18" thickBot="1" x14ac:dyDescent="0.45">
      <c r="F34" s="37" t="s">
        <v>124</v>
      </c>
      <c r="G34" s="38" t="s">
        <v>9</v>
      </c>
      <c r="H34" s="39">
        <v>39</v>
      </c>
      <c r="I34" s="40" t="str">
        <f>"0x" &amp; DEC2HEX(H34,2)</f>
        <v>0x27</v>
      </c>
      <c r="J34" s="172"/>
      <c r="K34" s="173"/>
      <c r="L34" s="173"/>
      <c r="M34" s="173"/>
      <c r="N34" s="173"/>
      <c r="O34" s="173"/>
      <c r="P34" s="173"/>
      <c r="Q34" s="173"/>
      <c r="R34" s="173"/>
      <c r="S34" s="173"/>
      <c r="T34" s="173"/>
      <c r="U34" s="173"/>
      <c r="V34" s="173"/>
      <c r="W34" s="173"/>
      <c r="X34" s="173"/>
      <c r="Y34" s="173"/>
      <c r="Z34" s="173"/>
      <c r="AA34" s="173"/>
      <c r="AB34" s="173"/>
      <c r="AC34" s="173"/>
      <c r="AD34" s="173"/>
      <c r="AE34" s="173"/>
      <c r="AF34" s="173"/>
      <c r="AG34" s="174"/>
    </row>
    <row r="35" spans="5:34" x14ac:dyDescent="0.4">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78" t="s">
        <v>33</v>
      </c>
      <c r="AA35" s="179"/>
      <c r="AB35" s="179"/>
      <c r="AC35" s="179"/>
      <c r="AD35" s="179"/>
      <c r="AE35" s="179"/>
      <c r="AF35" s="179"/>
      <c r="AG35" s="180"/>
      <c r="AH35" t="s">
        <v>156</v>
      </c>
    </row>
    <row r="36" spans="5:34" x14ac:dyDescent="0.4">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156</v>
      </c>
    </row>
    <row r="37" spans="5:34" x14ac:dyDescent="0.4">
      <c r="E37" s="3"/>
    </row>
    <row r="38" spans="5:34" x14ac:dyDescent="0.4">
      <c r="E38" s="3"/>
    </row>
    <row r="39" spans="5:34" ht="18" thickBot="1" x14ac:dyDescent="0.45">
      <c r="E39" s="3"/>
    </row>
    <row r="40" spans="5:34" ht="18" thickBot="1" x14ac:dyDescent="0.45">
      <c r="F40" s="231" t="s">
        <v>400</v>
      </c>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3"/>
    </row>
    <row r="41" spans="5:34" x14ac:dyDescent="0.4">
      <c r="F41" s="91"/>
      <c r="G41" s="93">
        <v>31</v>
      </c>
      <c r="H41" s="92" t="s">
        <v>41</v>
      </c>
      <c r="I41" s="230" t="s">
        <v>8</v>
      </c>
      <c r="J41" s="91">
        <v>23</v>
      </c>
      <c r="K41" s="91">
        <v>22</v>
      </c>
      <c r="L41" s="91">
        <v>21</v>
      </c>
      <c r="M41" s="91">
        <v>20</v>
      </c>
      <c r="N41" s="91">
        <v>19</v>
      </c>
      <c r="O41" s="91">
        <v>18</v>
      </c>
      <c r="P41" s="91">
        <v>17</v>
      </c>
      <c r="Q41" s="91">
        <v>16</v>
      </c>
      <c r="R41" s="91">
        <v>15</v>
      </c>
      <c r="S41" s="91">
        <v>14</v>
      </c>
      <c r="T41" s="91">
        <v>13</v>
      </c>
      <c r="U41" s="91">
        <v>12</v>
      </c>
      <c r="V41" s="91">
        <v>11</v>
      </c>
      <c r="W41" s="91">
        <v>10</v>
      </c>
      <c r="X41" s="91">
        <v>9</v>
      </c>
      <c r="Y41" s="91">
        <v>8</v>
      </c>
      <c r="Z41" s="91">
        <v>7</v>
      </c>
      <c r="AA41" s="91">
        <v>6</v>
      </c>
      <c r="AB41" s="91">
        <v>5</v>
      </c>
      <c r="AC41" s="91">
        <v>4</v>
      </c>
      <c r="AD41" s="91">
        <v>3</v>
      </c>
      <c r="AE41" s="91">
        <v>2</v>
      </c>
      <c r="AF41" s="91">
        <v>1</v>
      </c>
      <c r="AG41" s="91">
        <v>0</v>
      </c>
    </row>
    <row r="42" spans="5:34" x14ac:dyDescent="0.4">
      <c r="F42" s="4" t="s">
        <v>39</v>
      </c>
      <c r="G42" s="5" t="s">
        <v>9</v>
      </c>
      <c r="H42" s="18"/>
      <c r="I42" s="4" t="s">
        <v>6</v>
      </c>
      <c r="J42" s="189" t="s">
        <v>7</v>
      </c>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row>
    <row r="43" spans="5:34" x14ac:dyDescent="0.4">
      <c r="F43" s="6" t="s">
        <v>406</v>
      </c>
      <c r="G43" s="7" t="s">
        <v>325</v>
      </c>
      <c r="H43" s="20">
        <v>110</v>
      </c>
      <c r="I43" s="56" t="str">
        <f>"0x" &amp; DEC2HEX(H43,2)</f>
        <v>0x6E</v>
      </c>
      <c r="J43" s="107" t="s">
        <v>399</v>
      </c>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9"/>
    </row>
    <row r="44" spans="5:34" x14ac:dyDescent="0.4">
      <c r="F44" s="6" t="s">
        <v>362</v>
      </c>
      <c r="G44" s="7" t="s">
        <v>325</v>
      </c>
      <c r="H44" s="20">
        <v>111</v>
      </c>
      <c r="I44" s="56" t="str">
        <f t="shared" ref="I44:I60" si="1">"0x" &amp; DEC2HEX(H44,2)</f>
        <v>0x6F</v>
      </c>
      <c r="J44" s="6">
        <v>0</v>
      </c>
      <c r="K44" s="107" t="s">
        <v>360</v>
      </c>
      <c r="L44" s="108"/>
      <c r="M44" s="108"/>
      <c r="N44" s="108"/>
      <c r="O44" s="108"/>
      <c r="P44" s="108"/>
      <c r="Q44" s="109"/>
      <c r="R44" s="108" t="s">
        <v>361</v>
      </c>
      <c r="S44" s="108"/>
      <c r="T44" s="108"/>
      <c r="U44" s="108"/>
      <c r="V44" s="108"/>
      <c r="W44" s="108"/>
      <c r="X44" s="108"/>
      <c r="Y44" s="108"/>
      <c r="Z44" s="108"/>
      <c r="AA44" s="108"/>
      <c r="AB44" s="108"/>
      <c r="AC44" s="108"/>
      <c r="AD44" s="108"/>
      <c r="AE44" s="108"/>
      <c r="AF44" s="108"/>
      <c r="AG44" s="109"/>
    </row>
    <row r="45" spans="5:34" x14ac:dyDescent="0.4">
      <c r="F45" s="6" t="s">
        <v>363</v>
      </c>
      <c r="G45" s="7" t="s">
        <v>325</v>
      </c>
      <c r="H45" s="20">
        <v>112</v>
      </c>
      <c r="I45" s="56" t="str">
        <f t="shared" si="1"/>
        <v>0x70</v>
      </c>
      <c r="J45" s="6">
        <v>0</v>
      </c>
      <c r="K45" s="107" t="s">
        <v>360</v>
      </c>
      <c r="L45" s="108"/>
      <c r="M45" s="108"/>
      <c r="N45" s="108"/>
      <c r="O45" s="108"/>
      <c r="P45" s="108"/>
      <c r="Q45" s="109"/>
      <c r="R45" s="108" t="s">
        <v>361</v>
      </c>
      <c r="S45" s="108"/>
      <c r="T45" s="108"/>
      <c r="U45" s="108"/>
      <c r="V45" s="108"/>
      <c r="W45" s="108"/>
      <c r="X45" s="108"/>
      <c r="Y45" s="108"/>
      <c r="Z45" s="108"/>
      <c r="AA45" s="108"/>
      <c r="AB45" s="108"/>
      <c r="AC45" s="108"/>
      <c r="AD45" s="108"/>
      <c r="AE45" s="108"/>
      <c r="AF45" s="108"/>
      <c r="AG45" s="109"/>
    </row>
    <row r="46" spans="5:34" x14ac:dyDescent="0.4">
      <c r="F46" s="6" t="s">
        <v>364</v>
      </c>
      <c r="G46" s="7" t="s">
        <v>325</v>
      </c>
      <c r="H46" s="20">
        <v>113</v>
      </c>
      <c r="I46" s="56" t="str">
        <f t="shared" si="1"/>
        <v>0x71</v>
      </c>
      <c r="J46" s="6">
        <v>0</v>
      </c>
      <c r="K46" s="107" t="s">
        <v>360</v>
      </c>
      <c r="L46" s="108"/>
      <c r="M46" s="108"/>
      <c r="N46" s="108"/>
      <c r="O46" s="108"/>
      <c r="P46" s="108"/>
      <c r="Q46" s="109"/>
      <c r="R46" s="108" t="s">
        <v>361</v>
      </c>
      <c r="S46" s="108"/>
      <c r="T46" s="108"/>
      <c r="U46" s="108"/>
      <c r="V46" s="108"/>
      <c r="W46" s="108"/>
      <c r="X46" s="108"/>
      <c r="Y46" s="108"/>
      <c r="Z46" s="108"/>
      <c r="AA46" s="108"/>
      <c r="AB46" s="108"/>
      <c r="AC46" s="108"/>
      <c r="AD46" s="108"/>
      <c r="AE46" s="108"/>
      <c r="AF46" s="108"/>
      <c r="AG46" s="109"/>
    </row>
    <row r="47" spans="5:34" x14ac:dyDescent="0.4">
      <c r="F47" s="6" t="s">
        <v>365</v>
      </c>
      <c r="G47" s="7" t="s">
        <v>325</v>
      </c>
      <c r="H47" s="20">
        <v>114</v>
      </c>
      <c r="I47" s="56" t="str">
        <f t="shared" si="1"/>
        <v>0x72</v>
      </c>
      <c r="J47" s="6">
        <v>0</v>
      </c>
      <c r="K47" s="107" t="s">
        <v>360</v>
      </c>
      <c r="L47" s="108"/>
      <c r="M47" s="108"/>
      <c r="N47" s="108"/>
      <c r="O47" s="108"/>
      <c r="P47" s="108"/>
      <c r="Q47" s="109"/>
      <c r="R47" s="108" t="s">
        <v>361</v>
      </c>
      <c r="S47" s="108"/>
      <c r="T47" s="108"/>
      <c r="U47" s="108"/>
      <c r="V47" s="108"/>
      <c r="W47" s="108"/>
      <c r="X47" s="108"/>
      <c r="Y47" s="108"/>
      <c r="Z47" s="108"/>
      <c r="AA47" s="108"/>
      <c r="AB47" s="108"/>
      <c r="AC47" s="108"/>
      <c r="AD47" s="108"/>
      <c r="AE47" s="108"/>
      <c r="AF47" s="108"/>
      <c r="AG47" s="109"/>
    </row>
    <row r="48" spans="5:34" x14ac:dyDescent="0.4">
      <c r="F48" s="6" t="s">
        <v>366</v>
      </c>
      <c r="G48" s="7" t="s">
        <v>325</v>
      </c>
      <c r="H48" s="20">
        <v>115</v>
      </c>
      <c r="I48" s="56" t="str">
        <f t="shared" si="1"/>
        <v>0x73</v>
      </c>
      <c r="J48" s="6">
        <v>0</v>
      </c>
      <c r="K48" s="107" t="s">
        <v>360</v>
      </c>
      <c r="L48" s="108"/>
      <c r="M48" s="108"/>
      <c r="N48" s="108"/>
      <c r="O48" s="108"/>
      <c r="P48" s="108"/>
      <c r="Q48" s="109"/>
      <c r="R48" s="108" t="s">
        <v>361</v>
      </c>
      <c r="S48" s="108"/>
      <c r="T48" s="108"/>
      <c r="U48" s="108"/>
      <c r="V48" s="108"/>
      <c r="W48" s="108"/>
      <c r="X48" s="108"/>
      <c r="Y48" s="108"/>
      <c r="Z48" s="108"/>
      <c r="AA48" s="108"/>
      <c r="AB48" s="108"/>
      <c r="AC48" s="108"/>
      <c r="AD48" s="108"/>
      <c r="AE48" s="108"/>
      <c r="AF48" s="108"/>
      <c r="AG48" s="109"/>
    </row>
    <row r="49" spans="6:33" x14ac:dyDescent="0.4">
      <c r="F49" s="6" t="s">
        <v>367</v>
      </c>
      <c r="G49" s="7" t="s">
        <v>325</v>
      </c>
      <c r="H49" s="20">
        <v>116</v>
      </c>
      <c r="I49" s="56" t="str">
        <f t="shared" si="1"/>
        <v>0x74</v>
      </c>
      <c r="J49" s="6">
        <v>0</v>
      </c>
      <c r="K49" s="107" t="s">
        <v>360</v>
      </c>
      <c r="L49" s="108"/>
      <c r="M49" s="108"/>
      <c r="N49" s="108"/>
      <c r="O49" s="108"/>
      <c r="P49" s="108"/>
      <c r="Q49" s="109"/>
      <c r="R49" s="108" t="s">
        <v>361</v>
      </c>
      <c r="S49" s="108"/>
      <c r="T49" s="108"/>
      <c r="U49" s="108"/>
      <c r="V49" s="108"/>
      <c r="W49" s="108"/>
      <c r="X49" s="108"/>
      <c r="Y49" s="108"/>
      <c r="Z49" s="108"/>
      <c r="AA49" s="108"/>
      <c r="AB49" s="108"/>
      <c r="AC49" s="108"/>
      <c r="AD49" s="108"/>
      <c r="AE49" s="108"/>
      <c r="AF49" s="108"/>
      <c r="AG49" s="109"/>
    </row>
    <row r="50" spans="6:33" x14ac:dyDescent="0.4">
      <c r="F50" s="6" t="s">
        <v>368</v>
      </c>
      <c r="G50" s="7" t="s">
        <v>325</v>
      </c>
      <c r="H50" s="20">
        <v>117</v>
      </c>
      <c r="I50" s="56" t="str">
        <f t="shared" si="1"/>
        <v>0x75</v>
      </c>
      <c r="J50" s="6">
        <v>0</v>
      </c>
      <c r="K50" s="107" t="s">
        <v>360</v>
      </c>
      <c r="L50" s="108"/>
      <c r="M50" s="108"/>
      <c r="N50" s="108"/>
      <c r="O50" s="108"/>
      <c r="P50" s="108"/>
      <c r="Q50" s="109"/>
      <c r="R50" s="108" t="s">
        <v>361</v>
      </c>
      <c r="S50" s="108"/>
      <c r="T50" s="108"/>
      <c r="U50" s="108"/>
      <c r="V50" s="108"/>
      <c r="W50" s="108"/>
      <c r="X50" s="108"/>
      <c r="Y50" s="108"/>
      <c r="Z50" s="108"/>
      <c r="AA50" s="108"/>
      <c r="AB50" s="108"/>
      <c r="AC50" s="108"/>
      <c r="AD50" s="108"/>
      <c r="AE50" s="108"/>
      <c r="AF50" s="108"/>
      <c r="AG50" s="109"/>
    </row>
    <row r="51" spans="6:33" x14ac:dyDescent="0.4">
      <c r="F51" s="6" t="s">
        <v>369</v>
      </c>
      <c r="G51" s="7" t="s">
        <v>325</v>
      </c>
      <c r="H51" s="20">
        <v>118</v>
      </c>
      <c r="I51" s="56" t="str">
        <f t="shared" si="1"/>
        <v>0x76</v>
      </c>
      <c r="J51" s="6">
        <v>0</v>
      </c>
      <c r="K51" s="107" t="s">
        <v>360</v>
      </c>
      <c r="L51" s="108"/>
      <c r="M51" s="108"/>
      <c r="N51" s="108"/>
      <c r="O51" s="108"/>
      <c r="P51" s="108"/>
      <c r="Q51" s="109"/>
      <c r="R51" s="108" t="s">
        <v>361</v>
      </c>
      <c r="S51" s="108"/>
      <c r="T51" s="108"/>
      <c r="U51" s="108"/>
      <c r="V51" s="108"/>
      <c r="W51" s="108"/>
      <c r="X51" s="108"/>
      <c r="Y51" s="108"/>
      <c r="Z51" s="108"/>
      <c r="AA51" s="108"/>
      <c r="AB51" s="108"/>
      <c r="AC51" s="108"/>
      <c r="AD51" s="108"/>
      <c r="AE51" s="108"/>
      <c r="AF51" s="108"/>
      <c r="AG51" s="109"/>
    </row>
    <row r="52" spans="6:33" x14ac:dyDescent="0.4">
      <c r="F52" s="6" t="s">
        <v>370</v>
      </c>
      <c r="G52" s="7" t="s">
        <v>325</v>
      </c>
      <c r="H52" s="20">
        <v>119</v>
      </c>
      <c r="I52" s="56" t="str">
        <f t="shared" si="1"/>
        <v>0x77</v>
      </c>
      <c r="J52" s="6">
        <v>0</v>
      </c>
      <c r="K52" s="107" t="s">
        <v>360</v>
      </c>
      <c r="L52" s="108"/>
      <c r="M52" s="108"/>
      <c r="N52" s="108"/>
      <c r="O52" s="108"/>
      <c r="P52" s="108"/>
      <c r="Q52" s="109"/>
      <c r="R52" s="108" t="s">
        <v>361</v>
      </c>
      <c r="S52" s="108"/>
      <c r="T52" s="108"/>
      <c r="U52" s="108"/>
      <c r="V52" s="108"/>
      <c r="W52" s="108"/>
      <c r="X52" s="108"/>
      <c r="Y52" s="108"/>
      <c r="Z52" s="108"/>
      <c r="AA52" s="108"/>
      <c r="AB52" s="108"/>
      <c r="AC52" s="108"/>
      <c r="AD52" s="108"/>
      <c r="AE52" s="108"/>
      <c r="AF52" s="108"/>
      <c r="AG52" s="109"/>
    </row>
    <row r="53" spans="6:33" x14ac:dyDescent="0.4">
      <c r="F53" s="6" t="s">
        <v>371</v>
      </c>
      <c r="G53" s="7" t="s">
        <v>325</v>
      </c>
      <c r="H53" s="20">
        <v>120</v>
      </c>
      <c r="I53" s="56" t="str">
        <f t="shared" si="1"/>
        <v>0x78</v>
      </c>
      <c r="J53" s="6">
        <v>0</v>
      </c>
      <c r="K53" s="107" t="s">
        <v>360</v>
      </c>
      <c r="L53" s="108"/>
      <c r="M53" s="108"/>
      <c r="N53" s="108"/>
      <c r="O53" s="108"/>
      <c r="P53" s="108"/>
      <c r="Q53" s="109"/>
      <c r="R53" s="108" t="s">
        <v>361</v>
      </c>
      <c r="S53" s="108"/>
      <c r="T53" s="108"/>
      <c r="U53" s="108"/>
      <c r="V53" s="108"/>
      <c r="W53" s="108"/>
      <c r="X53" s="108"/>
      <c r="Y53" s="108"/>
      <c r="Z53" s="108"/>
      <c r="AA53" s="108"/>
      <c r="AB53" s="108"/>
      <c r="AC53" s="108"/>
      <c r="AD53" s="108"/>
      <c r="AE53" s="108"/>
      <c r="AF53" s="108"/>
      <c r="AG53" s="109"/>
    </row>
    <row r="54" spans="6:33" x14ac:dyDescent="0.4">
      <c r="F54" s="6" t="s">
        <v>372</v>
      </c>
      <c r="G54" s="7" t="s">
        <v>325</v>
      </c>
      <c r="H54" s="20">
        <v>121</v>
      </c>
      <c r="I54" s="56" t="str">
        <f t="shared" si="1"/>
        <v>0x79</v>
      </c>
      <c r="J54" s="6">
        <v>0</v>
      </c>
      <c r="K54" s="107" t="s">
        <v>360</v>
      </c>
      <c r="L54" s="108"/>
      <c r="M54" s="108"/>
      <c r="N54" s="108"/>
      <c r="O54" s="108"/>
      <c r="P54" s="108"/>
      <c r="Q54" s="109"/>
      <c r="R54" s="108" t="s">
        <v>361</v>
      </c>
      <c r="S54" s="108"/>
      <c r="T54" s="108"/>
      <c r="U54" s="108"/>
      <c r="V54" s="108"/>
      <c r="W54" s="108"/>
      <c r="X54" s="108"/>
      <c r="Y54" s="108"/>
      <c r="Z54" s="108"/>
      <c r="AA54" s="108"/>
      <c r="AB54" s="108"/>
      <c r="AC54" s="108"/>
      <c r="AD54" s="108"/>
      <c r="AE54" s="108"/>
      <c r="AF54" s="108"/>
      <c r="AG54" s="109"/>
    </row>
    <row r="55" spans="6:33" x14ac:dyDescent="0.4">
      <c r="F55" s="6" t="s">
        <v>373</v>
      </c>
      <c r="G55" s="7" t="s">
        <v>325</v>
      </c>
      <c r="H55" s="20">
        <v>122</v>
      </c>
      <c r="I55" s="56" t="str">
        <f t="shared" si="1"/>
        <v>0x7A</v>
      </c>
      <c r="J55" s="6">
        <v>0</v>
      </c>
      <c r="K55" s="107" t="s">
        <v>360</v>
      </c>
      <c r="L55" s="108"/>
      <c r="M55" s="108"/>
      <c r="N55" s="108"/>
      <c r="O55" s="108"/>
      <c r="P55" s="108"/>
      <c r="Q55" s="109"/>
      <c r="R55" s="108" t="s">
        <v>361</v>
      </c>
      <c r="S55" s="108"/>
      <c r="T55" s="108"/>
      <c r="U55" s="108"/>
      <c r="V55" s="108"/>
      <c r="W55" s="108"/>
      <c r="X55" s="108"/>
      <c r="Y55" s="108"/>
      <c r="Z55" s="108"/>
      <c r="AA55" s="108"/>
      <c r="AB55" s="108"/>
      <c r="AC55" s="108"/>
      <c r="AD55" s="108"/>
      <c r="AE55" s="108"/>
      <c r="AF55" s="108"/>
      <c r="AG55" s="109"/>
    </row>
    <row r="56" spans="6:33" x14ac:dyDescent="0.4">
      <c r="F56" s="6" t="s">
        <v>401</v>
      </c>
      <c r="G56" s="7" t="s">
        <v>325</v>
      </c>
      <c r="H56" s="20">
        <v>123</v>
      </c>
      <c r="I56" s="56" t="str">
        <f t="shared" si="1"/>
        <v>0x7B</v>
      </c>
      <c r="J56" s="6">
        <v>0</v>
      </c>
      <c r="K56" s="6">
        <v>0</v>
      </c>
      <c r="L56" s="6">
        <v>0</v>
      </c>
      <c r="M56" s="6">
        <v>0</v>
      </c>
      <c r="N56" s="110" t="s">
        <v>397</v>
      </c>
      <c r="O56" s="111"/>
      <c r="P56" s="111"/>
      <c r="Q56" s="111"/>
      <c r="R56" s="111"/>
      <c r="S56" s="111"/>
      <c r="T56" s="111"/>
      <c r="U56" s="111"/>
      <c r="V56" s="111"/>
      <c r="W56" s="111"/>
      <c r="X56" s="111"/>
      <c r="Y56" s="111"/>
      <c r="Z56" s="111"/>
      <c r="AA56" s="111"/>
      <c r="AB56" s="111"/>
      <c r="AC56" s="111"/>
      <c r="AD56" s="111"/>
      <c r="AE56" s="111"/>
      <c r="AF56" s="111"/>
      <c r="AG56" s="112"/>
    </row>
    <row r="57" spans="6:33" ht="25.2" x14ac:dyDescent="0.4">
      <c r="F57" s="6" t="s">
        <v>382</v>
      </c>
      <c r="G57" s="7" t="s">
        <v>383</v>
      </c>
      <c r="H57" s="20">
        <v>124</v>
      </c>
      <c r="I57" s="56" t="str">
        <f t="shared" si="1"/>
        <v>0x7C</v>
      </c>
      <c r="J57" s="107" t="s">
        <v>334</v>
      </c>
      <c r="K57" s="108"/>
      <c r="L57" s="108"/>
      <c r="M57" s="108"/>
      <c r="N57" s="108"/>
      <c r="O57" s="108"/>
      <c r="P57" s="108"/>
      <c r="Q57" s="108"/>
      <c r="R57" s="108"/>
      <c r="S57" s="108"/>
      <c r="T57" s="108"/>
      <c r="U57" s="108"/>
      <c r="V57" s="108"/>
      <c r="W57" s="108"/>
      <c r="X57" s="108"/>
      <c r="Y57" s="108"/>
      <c r="Z57" s="108"/>
      <c r="AA57" s="108"/>
      <c r="AB57" s="108"/>
      <c r="AC57" s="108"/>
      <c r="AD57" s="108"/>
      <c r="AE57" s="108"/>
      <c r="AF57" s="109"/>
      <c r="AG57" s="235" t="s">
        <v>385</v>
      </c>
    </row>
    <row r="58" spans="6:33" x14ac:dyDescent="0.4">
      <c r="F58" s="6" t="s">
        <v>402</v>
      </c>
      <c r="G58" s="7" t="s">
        <v>325</v>
      </c>
      <c r="H58" s="20">
        <v>125</v>
      </c>
      <c r="I58" s="56" t="str">
        <f t="shared" si="1"/>
        <v>0x7D</v>
      </c>
      <c r="J58" s="107" t="s">
        <v>404</v>
      </c>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9"/>
    </row>
    <row r="59" spans="6:33" ht="17.399999999999999" customHeight="1" x14ac:dyDescent="0.4">
      <c r="F59" s="6" t="s">
        <v>384</v>
      </c>
      <c r="G59" s="7" t="s">
        <v>383</v>
      </c>
      <c r="H59" s="20">
        <v>126</v>
      </c>
      <c r="I59" s="56" t="str">
        <f t="shared" si="1"/>
        <v>0x7E</v>
      </c>
      <c r="J59" s="107" t="s">
        <v>334</v>
      </c>
      <c r="K59" s="108"/>
      <c r="L59" s="108"/>
      <c r="M59" s="108"/>
      <c r="N59" s="108"/>
      <c r="O59" s="108"/>
      <c r="P59" s="108"/>
      <c r="Q59" s="108"/>
      <c r="R59" s="108"/>
      <c r="S59" s="108"/>
      <c r="T59" s="108"/>
      <c r="U59" s="108"/>
      <c r="V59" s="108"/>
      <c r="W59" s="108"/>
      <c r="X59" s="108"/>
      <c r="Y59" s="108"/>
      <c r="Z59" s="108"/>
      <c r="AA59" s="108"/>
      <c r="AB59" s="108"/>
      <c r="AC59" s="108"/>
      <c r="AD59" s="108"/>
      <c r="AE59" s="108"/>
      <c r="AF59" s="109"/>
      <c r="AG59" s="235" t="s">
        <v>385</v>
      </c>
    </row>
    <row r="60" spans="6:33" x14ac:dyDescent="0.4">
      <c r="F60" s="6" t="s">
        <v>403</v>
      </c>
      <c r="G60" s="234" t="s">
        <v>326</v>
      </c>
      <c r="H60" s="20">
        <v>127</v>
      </c>
      <c r="I60" s="56" t="str">
        <f t="shared" si="1"/>
        <v>0x7F</v>
      </c>
      <c r="J60" s="107" t="s">
        <v>405</v>
      </c>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9"/>
    </row>
  </sheetData>
  <mergeCells count="63">
    <mergeCell ref="J59:AF59"/>
    <mergeCell ref="J60:AG60"/>
    <mergeCell ref="N56:AG56"/>
    <mergeCell ref="J57:AF57"/>
    <mergeCell ref="J58:AG58"/>
    <mergeCell ref="K53:Q53"/>
    <mergeCell ref="R53:AG53"/>
    <mergeCell ref="K54:Q54"/>
    <mergeCell ref="R54:AG54"/>
    <mergeCell ref="K55:Q55"/>
    <mergeCell ref="R55:AG55"/>
    <mergeCell ref="K50:Q50"/>
    <mergeCell ref="R50:AG50"/>
    <mergeCell ref="K51:Q51"/>
    <mergeCell ref="R51:AG51"/>
    <mergeCell ref="K52:Q52"/>
    <mergeCell ref="R52:AG52"/>
    <mergeCell ref="K47:Q47"/>
    <mergeCell ref="R47:AG47"/>
    <mergeCell ref="K48:Q48"/>
    <mergeCell ref="R48:AG48"/>
    <mergeCell ref="K49:Q49"/>
    <mergeCell ref="R49:AG49"/>
    <mergeCell ref="K44:Q44"/>
    <mergeCell ref="R44:AG44"/>
    <mergeCell ref="K45:Q45"/>
    <mergeCell ref="R45:AG45"/>
    <mergeCell ref="K46:Q46"/>
    <mergeCell ref="R46:AG46"/>
    <mergeCell ref="J42:AG42"/>
    <mergeCell ref="F40:AG40"/>
    <mergeCell ref="J43:AG43"/>
    <mergeCell ref="J2:AG2"/>
    <mergeCell ref="AF9:AG9"/>
    <mergeCell ref="J3:Q3"/>
    <mergeCell ref="S3:T3"/>
    <mergeCell ref="J4:Q4"/>
    <mergeCell ref="S4:W4"/>
    <mergeCell ref="X4:AA4"/>
    <mergeCell ref="AB4:AG4"/>
    <mergeCell ref="J6:AG6"/>
    <mergeCell ref="F12:I12"/>
    <mergeCell ref="J14:AG16"/>
    <mergeCell ref="F15:I15"/>
    <mergeCell ref="N5:AG5"/>
    <mergeCell ref="J17:AG19"/>
    <mergeCell ref="F18:I18"/>
    <mergeCell ref="J11:AG13"/>
    <mergeCell ref="Z9:AE9"/>
    <mergeCell ref="N9:Y9"/>
    <mergeCell ref="X10:AG10"/>
    <mergeCell ref="R10:W10"/>
    <mergeCell ref="F21:I21"/>
    <mergeCell ref="J23:AG25"/>
    <mergeCell ref="F24:I24"/>
    <mergeCell ref="J26:AG28"/>
    <mergeCell ref="F27:I27"/>
    <mergeCell ref="J20:AG22"/>
    <mergeCell ref="J29:AG31"/>
    <mergeCell ref="F30:I30"/>
    <mergeCell ref="J32:AG34"/>
    <mergeCell ref="F33:I33"/>
    <mergeCell ref="Z35:AG35"/>
  </mergeCells>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E1" zoomScale="55" zoomScaleNormal="55" workbookViewId="0">
      <selection activeCell="F1" sqref="F1:AG3"/>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3" width="4.69921875" customWidth="1"/>
    <col min="35" max="35" width="12.8984375" customWidth="1"/>
    <col min="36" max="36" width="15.59765625" style="1" customWidth="1"/>
    <col min="37" max="37" width="60.19921875" customWidth="1"/>
    <col min="38" max="38" width="44.09765625" customWidth="1"/>
    <col min="39" max="39" width="21" customWidth="1"/>
  </cols>
  <sheetData>
    <row r="1" spans="5:38"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5:38" ht="76.5" customHeight="1" x14ac:dyDescent="0.4">
      <c r="E3" s="3"/>
      <c r="F3" s="6" t="s">
        <v>10</v>
      </c>
      <c r="G3" s="7" t="s">
        <v>28</v>
      </c>
      <c r="H3" s="20">
        <v>0</v>
      </c>
      <c r="I3" s="8" t="str">
        <f t="shared" ref="I3" si="0">"0x" &amp; DEC2HEX(H3,2)</f>
        <v>0x00</v>
      </c>
      <c r="J3" s="190" t="s">
        <v>23</v>
      </c>
      <c r="K3" s="190"/>
      <c r="L3" s="190"/>
      <c r="M3" s="190"/>
      <c r="N3" s="190"/>
      <c r="O3" s="190"/>
      <c r="P3" s="190"/>
      <c r="Q3" s="190"/>
      <c r="R3" s="15" t="s">
        <v>151</v>
      </c>
      <c r="S3" s="190" t="s">
        <v>49</v>
      </c>
      <c r="T3" s="190"/>
      <c r="U3" s="15" t="s">
        <v>36</v>
      </c>
      <c r="V3" s="82" t="s">
        <v>310</v>
      </c>
      <c r="W3" s="15" t="s">
        <v>52</v>
      </c>
      <c r="X3" s="15" t="s">
        <v>20</v>
      </c>
      <c r="Y3" s="15" t="s">
        <v>19</v>
      </c>
      <c r="Z3" s="15" t="s">
        <v>18</v>
      </c>
      <c r="AA3" s="15" t="s">
        <v>17</v>
      </c>
      <c r="AB3" s="15" t="s">
        <v>16</v>
      </c>
      <c r="AC3" s="15" t="s">
        <v>15</v>
      </c>
      <c r="AD3" s="15" t="s">
        <v>14</v>
      </c>
      <c r="AE3" s="15" t="s">
        <v>13</v>
      </c>
      <c r="AF3" s="15" t="s">
        <v>12</v>
      </c>
      <c r="AG3" s="15" t="s">
        <v>11</v>
      </c>
    </row>
    <row r="4" spans="5:38" x14ac:dyDescent="0.4">
      <c r="E4" s="3"/>
    </row>
    <row r="5" spans="5:38" ht="30" customHeight="1" thickBot="1" x14ac:dyDescent="0.45"/>
    <row r="6" spans="5:38" ht="27" customHeight="1" thickBot="1" x14ac:dyDescent="0.45">
      <c r="AI6" s="57" t="s">
        <v>194</v>
      </c>
      <c r="AJ6" s="68" t="s">
        <v>195</v>
      </c>
      <c r="AK6" s="58" t="s">
        <v>71</v>
      </c>
      <c r="AL6" s="59" t="s">
        <v>196</v>
      </c>
    </row>
    <row r="7" spans="5:38" ht="18" thickBot="1" x14ac:dyDescent="0.45">
      <c r="AI7" s="60" t="s">
        <v>9</v>
      </c>
      <c r="AJ7" s="69">
        <v>31</v>
      </c>
      <c r="AK7" s="61" t="s">
        <v>197</v>
      </c>
      <c r="AL7" s="62" t="s">
        <v>198</v>
      </c>
    </row>
    <row r="8" spans="5:38" ht="18" thickBot="1" x14ac:dyDescent="0.45">
      <c r="AI8" s="63" t="s">
        <v>199</v>
      </c>
      <c r="AJ8" s="70" t="s">
        <v>226</v>
      </c>
      <c r="AK8" s="64" t="s">
        <v>200</v>
      </c>
      <c r="AL8" s="65" t="s">
        <v>54</v>
      </c>
    </row>
    <row r="9" spans="5:38" x14ac:dyDescent="0.4">
      <c r="AI9" s="199" t="s">
        <v>23</v>
      </c>
      <c r="AJ9" s="202" t="s">
        <v>227</v>
      </c>
      <c r="AK9" s="191" t="s">
        <v>201</v>
      </c>
      <c r="AL9" s="66" t="s">
        <v>202</v>
      </c>
    </row>
    <row r="10" spans="5:38" ht="18" thickBot="1" x14ac:dyDescent="0.45">
      <c r="AI10" s="201"/>
      <c r="AJ10" s="204"/>
      <c r="AK10" s="192"/>
      <c r="AL10" s="62" t="s">
        <v>203</v>
      </c>
    </row>
    <row r="11" spans="5:38" x14ac:dyDescent="0.4">
      <c r="AI11" s="193" t="s">
        <v>151</v>
      </c>
      <c r="AJ11" s="195">
        <v>15</v>
      </c>
      <c r="AK11" s="197" t="s">
        <v>204</v>
      </c>
      <c r="AL11" s="67" t="s">
        <v>205</v>
      </c>
    </row>
    <row r="12" spans="5:38" ht="18" thickBot="1" x14ac:dyDescent="0.45">
      <c r="AI12" s="194"/>
      <c r="AJ12" s="196"/>
      <c r="AK12" s="198"/>
      <c r="AL12" s="65" t="s">
        <v>206</v>
      </c>
    </row>
    <row r="13" spans="5:38" x14ac:dyDescent="0.4">
      <c r="AI13" s="199" t="s">
        <v>49</v>
      </c>
      <c r="AJ13" s="202" t="s">
        <v>228</v>
      </c>
      <c r="AK13" s="191" t="s">
        <v>207</v>
      </c>
      <c r="AL13" s="66" t="s">
        <v>208</v>
      </c>
    </row>
    <row r="14" spans="5:38" x14ac:dyDescent="0.4">
      <c r="AI14" s="200"/>
      <c r="AJ14" s="203"/>
      <c r="AK14" s="205"/>
      <c r="AL14" s="66" t="s">
        <v>209</v>
      </c>
    </row>
    <row r="15" spans="5:38" ht="18" thickBot="1" x14ac:dyDescent="0.45">
      <c r="AI15" s="201"/>
      <c r="AJ15" s="204"/>
      <c r="AK15" s="192"/>
      <c r="AL15" s="62" t="s">
        <v>210</v>
      </c>
    </row>
    <row r="16" spans="5:38" ht="42" thickBot="1" x14ac:dyDescent="0.45">
      <c r="AI16" s="63" t="s">
        <v>36</v>
      </c>
      <c r="AJ16" s="70">
        <v>12</v>
      </c>
      <c r="AK16" s="64" t="s">
        <v>211</v>
      </c>
      <c r="AL16" s="65"/>
    </row>
    <row r="17" spans="35:39" ht="18" thickBot="1" x14ac:dyDescent="0.45">
      <c r="AI17" s="60" t="s">
        <v>310</v>
      </c>
      <c r="AJ17" s="69">
        <v>11</v>
      </c>
      <c r="AK17" s="61" t="s">
        <v>312</v>
      </c>
      <c r="AL17" s="65" t="s">
        <v>213</v>
      </c>
      <c r="AM17" s="83" t="s">
        <v>311</v>
      </c>
    </row>
    <row r="18" spans="35:39" ht="18" thickBot="1" x14ac:dyDescent="0.45">
      <c r="AI18" s="63" t="s">
        <v>52</v>
      </c>
      <c r="AJ18" s="70">
        <v>10</v>
      </c>
      <c r="AK18" s="64" t="s">
        <v>212</v>
      </c>
      <c r="AL18" s="65" t="s">
        <v>213</v>
      </c>
    </row>
    <row r="19" spans="35:39" ht="18" thickBot="1" x14ac:dyDescent="0.45">
      <c r="AI19" s="60" t="s">
        <v>20</v>
      </c>
      <c r="AJ19" s="69">
        <v>9</v>
      </c>
      <c r="AK19" s="61" t="s">
        <v>214</v>
      </c>
      <c r="AL19" s="62" t="s">
        <v>213</v>
      </c>
    </row>
    <row r="20" spans="35:39" ht="18" thickBot="1" x14ac:dyDescent="0.45">
      <c r="AI20" s="63" t="s">
        <v>19</v>
      </c>
      <c r="AJ20" s="70">
        <v>8</v>
      </c>
      <c r="AK20" s="64" t="s">
        <v>215</v>
      </c>
      <c r="AL20" s="65" t="s">
        <v>213</v>
      </c>
    </row>
    <row r="21" spans="35:39" ht="18" thickBot="1" x14ac:dyDescent="0.45">
      <c r="AI21" s="60" t="s">
        <v>18</v>
      </c>
      <c r="AJ21" s="69">
        <v>7</v>
      </c>
      <c r="AK21" s="61" t="s">
        <v>216</v>
      </c>
      <c r="AL21" s="62" t="s">
        <v>213</v>
      </c>
    </row>
    <row r="22" spans="35:39" ht="18" thickBot="1" x14ac:dyDescent="0.45">
      <c r="AI22" s="63" t="s">
        <v>17</v>
      </c>
      <c r="AJ22" s="70">
        <v>6</v>
      </c>
      <c r="AK22" s="64" t="s">
        <v>217</v>
      </c>
      <c r="AL22" s="65" t="s">
        <v>213</v>
      </c>
    </row>
    <row r="23" spans="35:39" ht="18" thickBot="1" x14ac:dyDescent="0.45">
      <c r="AI23" s="60" t="s">
        <v>218</v>
      </c>
      <c r="AJ23" s="69">
        <v>5</v>
      </c>
      <c r="AK23" s="61" t="s">
        <v>219</v>
      </c>
      <c r="AL23" s="62" t="s">
        <v>213</v>
      </c>
    </row>
    <row r="24" spans="35:39" ht="18" thickBot="1" x14ac:dyDescent="0.45">
      <c r="AI24" s="63" t="s">
        <v>220</v>
      </c>
      <c r="AJ24" s="70">
        <v>4</v>
      </c>
      <c r="AK24" s="64" t="s">
        <v>221</v>
      </c>
      <c r="AL24" s="65" t="s">
        <v>213</v>
      </c>
    </row>
    <row r="25" spans="35:39" ht="18" thickBot="1" x14ac:dyDescent="0.45">
      <c r="AI25" s="60" t="s">
        <v>14</v>
      </c>
      <c r="AJ25" s="69">
        <v>3</v>
      </c>
      <c r="AK25" s="61" t="s">
        <v>222</v>
      </c>
      <c r="AL25" s="62" t="s">
        <v>213</v>
      </c>
    </row>
    <row r="26" spans="35:39" ht="18" thickBot="1" x14ac:dyDescent="0.45">
      <c r="AI26" s="63" t="s">
        <v>13</v>
      </c>
      <c r="AJ26" s="70">
        <v>2</v>
      </c>
      <c r="AK26" s="64" t="s">
        <v>223</v>
      </c>
      <c r="AL26" s="65" t="s">
        <v>213</v>
      </c>
    </row>
    <row r="27" spans="35:39" ht="18" thickBot="1" x14ac:dyDescent="0.45">
      <c r="AI27" s="60" t="s">
        <v>12</v>
      </c>
      <c r="AJ27" s="69">
        <v>1</v>
      </c>
      <c r="AK27" s="61" t="s">
        <v>224</v>
      </c>
      <c r="AL27" s="62" t="s">
        <v>213</v>
      </c>
    </row>
    <row r="28" spans="35:39" ht="18" thickBot="1" x14ac:dyDescent="0.45">
      <c r="AI28" s="63" t="s">
        <v>11</v>
      </c>
      <c r="AJ28" s="70">
        <v>0</v>
      </c>
      <c r="AK28" s="64" t="s">
        <v>225</v>
      </c>
      <c r="AL28" s="65" t="s">
        <v>213</v>
      </c>
    </row>
  </sheetData>
  <mergeCells count="12">
    <mergeCell ref="J3:Q3"/>
    <mergeCell ref="S3:T3"/>
    <mergeCell ref="J2:AG2"/>
    <mergeCell ref="AI9:AI10"/>
    <mergeCell ref="AJ9:AJ10"/>
    <mergeCell ref="AK9:AK10"/>
    <mergeCell ref="AI11:AI12"/>
    <mergeCell ref="AJ11:AJ12"/>
    <mergeCell ref="AK11:AK12"/>
    <mergeCell ref="AI13:AI15"/>
    <mergeCell ref="AJ13:AJ15"/>
    <mergeCell ref="AK13:AK15"/>
  </mergeCells>
  <phoneticPr fontId="1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3" width="4.69921875" customWidth="1"/>
    <col min="35" max="35" width="12.8984375" customWidth="1"/>
    <col min="36" max="36" width="15.59765625" style="1" customWidth="1"/>
    <col min="37" max="37" width="60.19921875" customWidth="1"/>
    <col min="38" max="38" width="44.09765625" customWidth="1"/>
  </cols>
  <sheetData>
    <row r="1" spans="5:33"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5:33" ht="51.75" customHeight="1" x14ac:dyDescent="0.4">
      <c r="E3" s="3"/>
      <c r="F3" s="6" t="s">
        <v>37</v>
      </c>
      <c r="G3" s="7" t="s">
        <v>28</v>
      </c>
      <c r="H3" s="20">
        <v>1</v>
      </c>
      <c r="I3" s="8" t="str">
        <f t="shared" ref="I3" si="0">"0x" &amp; DEC2HEX(H3,2)</f>
        <v>0x01</v>
      </c>
      <c r="J3" s="190" t="s">
        <v>24</v>
      </c>
      <c r="K3" s="190"/>
      <c r="L3" s="190"/>
      <c r="M3" s="190"/>
      <c r="N3" s="190"/>
      <c r="O3" s="190"/>
      <c r="P3" s="190"/>
      <c r="Q3" s="190"/>
      <c r="R3" s="9"/>
      <c r="S3" s="190" t="s">
        <v>27</v>
      </c>
      <c r="T3" s="190"/>
      <c r="U3" s="190"/>
      <c r="V3" s="190"/>
      <c r="W3" s="190"/>
      <c r="X3" s="190" t="s">
        <v>26</v>
      </c>
      <c r="Y3" s="190"/>
      <c r="Z3" s="190"/>
      <c r="AA3" s="190"/>
      <c r="AB3" s="190" t="s">
        <v>25</v>
      </c>
      <c r="AC3" s="190"/>
      <c r="AD3" s="190"/>
      <c r="AE3" s="190"/>
      <c r="AF3" s="190"/>
      <c r="AG3" s="190"/>
    </row>
    <row r="4" spans="5:33" x14ac:dyDescent="0.4">
      <c r="E4" s="3"/>
    </row>
  </sheetData>
  <mergeCells count="5">
    <mergeCell ref="J2:AG2"/>
    <mergeCell ref="J3:Q3"/>
    <mergeCell ref="S3:W3"/>
    <mergeCell ref="X3:AA3"/>
    <mergeCell ref="AB3:AG3"/>
  </mergeCells>
  <phoneticPr fontId="14"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3" width="4.69921875" customWidth="1"/>
    <col min="35" max="35" width="6.69921875" customWidth="1"/>
    <col min="36" max="36" width="18.3984375" style="2" customWidth="1"/>
    <col min="37" max="37" width="18.69921875" customWidth="1"/>
    <col min="38" max="38" width="10.09765625" customWidth="1"/>
    <col min="39" max="39" width="104.8984375" customWidth="1"/>
    <col min="40" max="40" width="22.19921875" customWidth="1"/>
  </cols>
  <sheetData>
    <row r="1" spans="5:39"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5:39" x14ac:dyDescent="0.4">
      <c r="E3" s="3"/>
      <c r="F3" s="6" t="s">
        <v>22</v>
      </c>
      <c r="G3" s="7" t="s">
        <v>9</v>
      </c>
      <c r="H3" s="20">
        <v>6</v>
      </c>
      <c r="I3" s="8" t="str">
        <f t="shared" ref="I3" si="0">"0x" &amp; DEC2HEX(H3,2)</f>
        <v>0x06</v>
      </c>
      <c r="J3" s="9">
        <v>0</v>
      </c>
      <c r="K3" s="9">
        <v>0</v>
      </c>
      <c r="L3" s="9">
        <v>0</v>
      </c>
      <c r="M3" s="9">
        <v>0</v>
      </c>
      <c r="N3" s="183" t="s">
        <v>146</v>
      </c>
      <c r="O3" s="184"/>
      <c r="P3" s="184"/>
      <c r="Q3" s="184"/>
      <c r="R3" s="184"/>
      <c r="S3" s="184"/>
      <c r="T3" s="184"/>
      <c r="U3" s="184"/>
      <c r="V3" s="184"/>
      <c r="W3" s="184"/>
      <c r="X3" s="184"/>
      <c r="Y3" s="185"/>
      <c r="Z3" s="183" t="s">
        <v>145</v>
      </c>
      <c r="AA3" s="184"/>
      <c r="AB3" s="184"/>
      <c r="AC3" s="184"/>
      <c r="AD3" s="184"/>
      <c r="AE3" s="185"/>
      <c r="AF3" s="107" t="s">
        <v>5</v>
      </c>
      <c r="AG3" s="109"/>
    </row>
    <row r="4" spans="5:39" x14ac:dyDescent="0.4">
      <c r="E4" s="3"/>
      <c r="AJ4" s="16"/>
      <c r="AK4" s="16" t="s">
        <v>70</v>
      </c>
      <c r="AL4" s="16" t="s">
        <v>76</v>
      </c>
      <c r="AM4" s="16"/>
    </row>
    <row r="5" spans="5:39" ht="30" customHeight="1" x14ac:dyDescent="0.4">
      <c r="AJ5" s="208"/>
      <c r="AK5" s="208" t="s">
        <v>5</v>
      </c>
      <c r="AL5" s="208" t="s">
        <v>83</v>
      </c>
      <c r="AM5" s="206" t="s">
        <v>147</v>
      </c>
    </row>
    <row r="6" spans="5:39" ht="27" customHeight="1" x14ac:dyDescent="0.4">
      <c r="AJ6" s="209"/>
      <c r="AK6" s="209"/>
      <c r="AL6" s="209"/>
      <c r="AM6" s="207"/>
    </row>
    <row r="7" spans="5:39" ht="32.25" customHeight="1" x14ac:dyDescent="0.4">
      <c r="AJ7" s="209"/>
      <c r="AK7" s="209"/>
      <c r="AL7" s="209"/>
      <c r="AM7" s="207"/>
    </row>
    <row r="8" spans="5:39" x14ac:dyDescent="0.4">
      <c r="AJ8" s="209"/>
      <c r="AK8" s="41" t="s">
        <v>145</v>
      </c>
      <c r="AL8" s="41" t="s">
        <v>149</v>
      </c>
      <c r="AM8" s="41" t="s">
        <v>148</v>
      </c>
    </row>
    <row r="9" spans="5:39" x14ac:dyDescent="0.4">
      <c r="AJ9" s="209"/>
      <c r="AK9" s="41" t="s">
        <v>146</v>
      </c>
      <c r="AL9" s="41" t="s">
        <v>150</v>
      </c>
      <c r="AM9" s="41" t="s">
        <v>191</v>
      </c>
    </row>
    <row r="10" spans="5:39" x14ac:dyDescent="0.4">
      <c r="AJ10" s="210"/>
      <c r="AK10" s="49" t="s">
        <v>82</v>
      </c>
      <c r="AL10" s="49" t="s">
        <v>93</v>
      </c>
      <c r="AM10" s="49"/>
    </row>
  </sheetData>
  <mergeCells count="8">
    <mergeCell ref="AM5:AM7"/>
    <mergeCell ref="J2:AG2"/>
    <mergeCell ref="N3:Y3"/>
    <mergeCell ref="Z3:AE3"/>
    <mergeCell ref="AF3:AG3"/>
    <mergeCell ref="AJ5:AJ10"/>
    <mergeCell ref="AK5:AK7"/>
    <mergeCell ref="AL5:AL7"/>
  </mergeCells>
  <phoneticPr fontId="14"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zoomScale="70" zoomScaleNormal="70" workbookViewId="0">
      <selection activeCell="AO14" sqref="AO14:AO15"/>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3" width="4.69921875" customWidth="1"/>
    <col min="37" max="37" width="6.69921875" customWidth="1"/>
    <col min="38" max="38" width="18.3984375" style="2" customWidth="1"/>
    <col min="39" max="39" width="18.69921875" customWidth="1"/>
    <col min="40" max="40" width="6.69921875" customWidth="1"/>
    <col min="41" max="41" width="65.59765625" customWidth="1"/>
    <col min="43" max="43" width="45.59765625" customWidth="1"/>
  </cols>
  <sheetData>
    <row r="1" spans="5:43"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5:43" ht="58.5" customHeight="1" x14ac:dyDescent="0.4">
      <c r="E3" s="3"/>
      <c r="F3" s="6" t="s">
        <v>21</v>
      </c>
      <c r="G3" s="7" t="s">
        <v>9</v>
      </c>
      <c r="H3" s="20">
        <v>7</v>
      </c>
      <c r="I3" s="8" t="str">
        <f t="shared" ref="I3" si="0">"0x" &amp; DEC2HEX(H3,2)</f>
        <v>0x07</v>
      </c>
      <c r="J3" s="15" t="s">
        <v>140</v>
      </c>
      <c r="K3" s="15" t="s">
        <v>133</v>
      </c>
      <c r="L3" s="107" t="s">
        <v>193</v>
      </c>
      <c r="M3" s="181"/>
      <c r="N3" s="181"/>
      <c r="O3" s="181"/>
      <c r="P3" s="181"/>
      <c r="Q3" s="182"/>
      <c r="R3" s="88"/>
      <c r="S3" s="218" t="s">
        <v>192</v>
      </c>
      <c r="T3" s="181"/>
      <c r="U3" s="181"/>
      <c r="V3" s="181"/>
      <c r="W3" s="181"/>
      <c r="X3" s="181"/>
      <c r="Y3" s="181"/>
      <c r="Z3" s="181"/>
      <c r="AA3" s="181"/>
      <c r="AB3" s="181"/>
      <c r="AC3" s="181"/>
      <c r="AD3" s="181"/>
      <c r="AE3" s="181"/>
      <c r="AF3" s="181"/>
      <c r="AG3" s="182"/>
    </row>
    <row r="4" spans="5:43" x14ac:dyDescent="0.4">
      <c r="E4" s="3"/>
      <c r="AL4" s="16"/>
      <c r="AM4" s="16" t="s">
        <v>70</v>
      </c>
      <c r="AN4" s="16" t="s">
        <v>76</v>
      </c>
      <c r="AO4" s="16" t="s">
        <v>71</v>
      </c>
      <c r="AP4" s="218" t="s">
        <v>161</v>
      </c>
      <c r="AQ4" s="182"/>
    </row>
    <row r="5" spans="5:43" x14ac:dyDescent="0.4">
      <c r="AL5" s="219" t="s">
        <v>21</v>
      </c>
      <c r="AM5" s="219" t="s">
        <v>192</v>
      </c>
      <c r="AN5" s="219" t="s">
        <v>317</v>
      </c>
      <c r="AO5" s="220" t="s">
        <v>316</v>
      </c>
      <c r="AP5" s="211" t="s">
        <v>315</v>
      </c>
      <c r="AQ5" s="212"/>
    </row>
    <row r="6" spans="5:43" ht="48.75" customHeight="1" x14ac:dyDescent="0.4">
      <c r="AL6" s="219"/>
      <c r="AM6" s="219"/>
      <c r="AN6" s="219"/>
      <c r="AO6" s="221"/>
      <c r="AP6" s="213"/>
      <c r="AQ6" s="214"/>
    </row>
    <row r="7" spans="5:43" x14ac:dyDescent="0.4">
      <c r="AL7" s="219"/>
      <c r="AM7" s="87" t="s">
        <v>82</v>
      </c>
      <c r="AN7" s="87" t="s">
        <v>320</v>
      </c>
      <c r="AO7" s="86" t="s">
        <v>82</v>
      </c>
      <c r="AP7" s="222" t="s">
        <v>82</v>
      </c>
      <c r="AQ7" s="223"/>
    </row>
    <row r="8" spans="5:43" x14ac:dyDescent="0.4">
      <c r="AL8" s="221"/>
      <c r="AM8" s="221" t="s">
        <v>193</v>
      </c>
      <c r="AN8" s="221" t="s">
        <v>138</v>
      </c>
      <c r="AO8" s="220" t="s">
        <v>163</v>
      </c>
      <c r="AP8" s="215" t="s">
        <v>162</v>
      </c>
      <c r="AQ8" s="212"/>
    </row>
    <row r="9" spans="5:43" x14ac:dyDescent="0.4">
      <c r="AL9" s="221"/>
      <c r="AM9" s="221"/>
      <c r="AN9" s="221"/>
      <c r="AO9" s="221"/>
      <c r="AP9" s="216"/>
      <c r="AQ9" s="217"/>
    </row>
    <row r="10" spans="5:43" x14ac:dyDescent="0.4">
      <c r="AL10" s="221"/>
      <c r="AM10" s="221"/>
      <c r="AN10" s="221"/>
      <c r="AO10" s="221"/>
      <c r="AP10" s="216"/>
      <c r="AQ10" s="217"/>
    </row>
    <row r="11" spans="5:43" x14ac:dyDescent="0.4">
      <c r="AL11" s="221"/>
      <c r="AM11" s="221"/>
      <c r="AN11" s="221"/>
      <c r="AO11" s="221"/>
      <c r="AP11" s="213"/>
      <c r="AQ11" s="214"/>
    </row>
    <row r="12" spans="5:43" x14ac:dyDescent="0.4">
      <c r="AL12" s="221"/>
      <c r="AM12" s="219" t="s">
        <v>133</v>
      </c>
      <c r="AN12" s="219" t="s">
        <v>319</v>
      </c>
      <c r="AO12" s="220" t="s">
        <v>144</v>
      </c>
      <c r="AP12" s="43">
        <v>0</v>
      </c>
      <c r="AQ12" s="41" t="s">
        <v>139</v>
      </c>
    </row>
    <row r="13" spans="5:43" x14ac:dyDescent="0.4">
      <c r="AL13" s="221"/>
      <c r="AM13" s="219"/>
      <c r="AN13" s="221"/>
      <c r="AO13" s="221"/>
      <c r="AP13" s="43">
        <v>1</v>
      </c>
      <c r="AQ13" s="41" t="s">
        <v>141</v>
      </c>
    </row>
    <row r="14" spans="5:43" x14ac:dyDescent="0.4">
      <c r="AL14" s="221"/>
      <c r="AM14" s="219" t="s">
        <v>140</v>
      </c>
      <c r="AN14" s="219" t="s">
        <v>318</v>
      </c>
      <c r="AO14" s="220" t="s">
        <v>164</v>
      </c>
      <c r="AP14" s="43">
        <v>0</v>
      </c>
      <c r="AQ14" s="41" t="s">
        <v>142</v>
      </c>
    </row>
    <row r="15" spans="5:43" x14ac:dyDescent="0.4">
      <c r="AL15" s="221"/>
      <c r="AM15" s="219"/>
      <c r="AN15" s="221"/>
      <c r="AO15" s="221"/>
      <c r="AP15" s="43">
        <v>1</v>
      </c>
      <c r="AQ15" s="41" t="s">
        <v>143</v>
      </c>
    </row>
  </sheetData>
  <mergeCells count="20">
    <mergeCell ref="AO14:AO15"/>
    <mergeCell ref="AM12:AM13"/>
    <mergeCell ref="AN12:AN13"/>
    <mergeCell ref="AO12:AO13"/>
    <mergeCell ref="J2:AG2"/>
    <mergeCell ref="AL5:AL15"/>
    <mergeCell ref="L3:Q3"/>
    <mergeCell ref="S3:AG3"/>
    <mergeCell ref="AM14:AM15"/>
    <mergeCell ref="AN14:AN15"/>
    <mergeCell ref="AP5:AQ6"/>
    <mergeCell ref="AP8:AQ11"/>
    <mergeCell ref="AP4:AQ4"/>
    <mergeCell ref="AM5:AM6"/>
    <mergeCell ref="AN5:AN6"/>
    <mergeCell ref="AO5:AO6"/>
    <mergeCell ref="AM8:AM11"/>
    <mergeCell ref="AN8:AN11"/>
    <mergeCell ref="AO8:AO11"/>
    <mergeCell ref="AP7:AQ7"/>
  </mergeCells>
  <phoneticPr fontId="14"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G19" zoomScale="70" zoomScaleNormal="70" workbookViewId="0">
      <selection activeCell="AN33" sqref="AN33"/>
    </sheetView>
  </sheetViews>
  <sheetFormatPr defaultRowHeight="17.399999999999999" x14ac:dyDescent="0.4"/>
  <cols>
    <col min="3" max="3" width="12.59765625" customWidth="1"/>
    <col min="4" max="4" width="10.69921875" customWidth="1"/>
    <col min="5" max="5" width="36.69921875" customWidth="1"/>
    <col min="6" max="6" width="30.69921875" style="2" customWidth="1"/>
    <col min="7" max="7" width="5" style="1" customWidth="1"/>
    <col min="8" max="8" width="5" style="19" customWidth="1"/>
    <col min="9" max="9" width="7.19921875" customWidth="1"/>
    <col min="10" max="33" width="4.69921875" customWidth="1"/>
    <col min="37" max="37" width="6.69921875" customWidth="1"/>
    <col min="38" max="38" width="18.3984375" style="2" customWidth="1"/>
    <col min="39" max="39" width="18.69921875" customWidth="1"/>
    <col min="40" max="40" width="6.69921875" customWidth="1"/>
    <col min="41" max="41" width="62.8984375" customWidth="1"/>
    <col min="43" max="43" width="45.59765625" customWidth="1"/>
    <col min="44" max="44" width="25.19921875" customWidth="1"/>
  </cols>
  <sheetData>
    <row r="1" spans="5:44" x14ac:dyDescent="0.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4">
      <c r="F2" s="4" t="s">
        <v>39</v>
      </c>
      <c r="G2" s="5" t="s">
        <v>9</v>
      </c>
      <c r="H2" s="18"/>
      <c r="I2" s="4" t="s">
        <v>6</v>
      </c>
      <c r="J2" s="189" t="s">
        <v>7</v>
      </c>
      <c r="K2" s="189"/>
      <c r="L2" s="189"/>
      <c r="M2" s="189"/>
      <c r="N2" s="189"/>
      <c r="O2" s="189"/>
      <c r="P2" s="189"/>
      <c r="Q2" s="189"/>
      <c r="R2" s="189"/>
      <c r="S2" s="189"/>
      <c r="T2" s="189"/>
      <c r="U2" s="189"/>
      <c r="V2" s="189"/>
      <c r="W2" s="189"/>
      <c r="X2" s="189"/>
      <c r="Y2" s="189"/>
      <c r="Z2" s="189"/>
      <c r="AA2" s="189"/>
      <c r="AB2" s="189"/>
      <c r="AC2" s="189"/>
      <c r="AD2" s="189"/>
      <c r="AE2" s="189"/>
      <c r="AF2" s="189"/>
      <c r="AG2" s="189"/>
    </row>
    <row r="3" spans="5:44" ht="44.25" customHeight="1" x14ac:dyDescent="0.4">
      <c r="F3" s="6" t="s">
        <v>134</v>
      </c>
      <c r="G3" s="7" t="s">
        <v>9</v>
      </c>
      <c r="H3" s="20">
        <v>0</v>
      </c>
      <c r="I3" s="8" t="str">
        <f t="shared" ref="I3:I6" si="0">"0x" &amp; DEC2HEX(H3,2)</f>
        <v>0x00</v>
      </c>
      <c r="J3" s="11">
        <v>0</v>
      </c>
      <c r="K3" s="11">
        <v>0</v>
      </c>
      <c r="L3" s="190" t="s">
        <v>158</v>
      </c>
      <c r="M3" s="119"/>
      <c r="N3" s="119"/>
      <c r="O3" s="119"/>
      <c r="P3" s="119"/>
      <c r="Q3" s="119"/>
      <c r="R3" s="190" t="s">
        <v>1</v>
      </c>
      <c r="S3" s="119"/>
      <c r="T3" s="119"/>
      <c r="U3" s="119"/>
      <c r="V3" s="119"/>
      <c r="W3" s="119"/>
      <c r="X3" s="190" t="s">
        <v>0</v>
      </c>
      <c r="Y3" s="119"/>
      <c r="Z3" s="119"/>
      <c r="AA3" s="119"/>
      <c r="AB3" s="119"/>
      <c r="AC3" s="119"/>
      <c r="AD3" s="15" t="s">
        <v>61</v>
      </c>
      <c r="AE3" s="190" t="s">
        <v>60</v>
      </c>
      <c r="AF3" s="190"/>
      <c r="AG3" s="15" t="s">
        <v>73</v>
      </c>
    </row>
    <row r="4" spans="5:44" ht="48.75" customHeight="1" x14ac:dyDescent="0.4">
      <c r="F4" s="6" t="s">
        <v>135</v>
      </c>
      <c r="G4" s="7" t="s">
        <v>9</v>
      </c>
      <c r="H4" s="20">
        <v>1</v>
      </c>
      <c r="I4" s="8" t="str">
        <f t="shared" si="0"/>
        <v>0x01</v>
      </c>
      <c r="J4" s="11">
        <v>0</v>
      </c>
      <c r="K4" s="11">
        <v>0</v>
      </c>
      <c r="L4" s="11">
        <v>0</v>
      </c>
      <c r="M4" s="11">
        <v>0</v>
      </c>
      <c r="N4" s="190" t="s">
        <v>66</v>
      </c>
      <c r="O4" s="119"/>
      <c r="P4" s="119"/>
      <c r="Q4" s="119"/>
      <c r="R4" s="190" t="s">
        <v>65</v>
      </c>
      <c r="S4" s="119"/>
      <c r="T4" s="119"/>
      <c r="U4" s="119"/>
      <c r="V4" s="190" t="s">
        <v>67</v>
      </c>
      <c r="W4" s="119"/>
      <c r="X4" s="190" t="s">
        <v>63</v>
      </c>
      <c r="Y4" s="119"/>
      <c r="Z4" s="119"/>
      <c r="AA4" s="119"/>
      <c r="AB4" s="190" t="s">
        <v>64</v>
      </c>
      <c r="AC4" s="119"/>
      <c r="AD4" s="119"/>
      <c r="AE4" s="119"/>
      <c r="AF4" s="190" t="s">
        <v>62</v>
      </c>
      <c r="AG4" s="119"/>
    </row>
    <row r="5" spans="5:44" ht="58.5" customHeight="1" x14ac:dyDescent="0.4">
      <c r="F5" s="6" t="s">
        <v>136</v>
      </c>
      <c r="G5" s="7" t="s">
        <v>9</v>
      </c>
      <c r="H5" s="20">
        <v>2</v>
      </c>
      <c r="I5" s="8" t="str">
        <f t="shared" si="0"/>
        <v>0x02</v>
      </c>
      <c r="J5" s="11">
        <v>0</v>
      </c>
      <c r="K5" s="11">
        <v>0</v>
      </c>
      <c r="L5" s="11">
        <v>0</v>
      </c>
      <c r="M5" s="11">
        <v>0</v>
      </c>
      <c r="N5" s="11">
        <v>0</v>
      </c>
      <c r="O5" s="11">
        <v>0</v>
      </c>
      <c r="P5" s="11">
        <v>0</v>
      </c>
      <c r="Q5" s="11">
        <v>0</v>
      </c>
      <c r="R5" s="11">
        <v>0</v>
      </c>
      <c r="S5" s="11">
        <v>0</v>
      </c>
      <c r="T5" s="190" t="s">
        <v>68</v>
      </c>
      <c r="U5" s="190"/>
      <c r="V5" s="190"/>
      <c r="W5" s="190"/>
      <c r="X5" s="107" t="s">
        <v>113</v>
      </c>
      <c r="Y5" s="181"/>
      <c r="Z5" s="182"/>
      <c r="AA5" s="190" t="s">
        <v>68</v>
      </c>
      <c r="AB5" s="190"/>
      <c r="AC5" s="190"/>
      <c r="AD5" s="190"/>
      <c r="AE5" s="107" t="s">
        <v>114</v>
      </c>
      <c r="AF5" s="181"/>
      <c r="AG5" s="182"/>
    </row>
    <row r="6" spans="5:44" ht="57" customHeight="1" x14ac:dyDescent="0.4">
      <c r="F6" s="6" t="s">
        <v>137</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99</v>
      </c>
      <c r="Z6" s="218" t="s">
        <v>100</v>
      </c>
      <c r="AA6" s="181"/>
      <c r="AB6" s="181"/>
      <c r="AC6" s="181"/>
      <c r="AD6" s="181"/>
      <c r="AE6" s="181"/>
      <c r="AF6" s="181"/>
      <c r="AG6" s="182"/>
    </row>
    <row r="7" spans="5:44" x14ac:dyDescent="0.4">
      <c r="E7" s="3"/>
    </row>
    <row r="8" spans="5:44" x14ac:dyDescent="0.4">
      <c r="E8" s="3"/>
      <c r="AL8" s="16"/>
      <c r="AM8" s="16" t="s">
        <v>70</v>
      </c>
      <c r="AN8" s="16" t="s">
        <v>76</v>
      </c>
      <c r="AO8" s="16" t="s">
        <v>71</v>
      </c>
      <c r="AP8" s="16"/>
      <c r="AQ8" s="16"/>
      <c r="AR8" s="56" t="s">
        <v>308</v>
      </c>
    </row>
    <row r="9" spans="5:44" x14ac:dyDescent="0.4">
      <c r="AL9" s="219" t="s">
        <v>134</v>
      </c>
      <c r="AM9" s="219" t="s">
        <v>73</v>
      </c>
      <c r="AN9" s="219" t="s">
        <v>77</v>
      </c>
      <c r="AO9" s="220" t="s">
        <v>72</v>
      </c>
      <c r="AP9" s="43">
        <v>0</v>
      </c>
      <c r="AQ9" s="44" t="s">
        <v>58</v>
      </c>
      <c r="AR9" s="56"/>
    </row>
    <row r="10" spans="5:44" x14ac:dyDescent="0.4">
      <c r="AL10" s="219"/>
      <c r="AM10" s="219"/>
      <c r="AN10" s="219"/>
      <c r="AO10" s="221"/>
      <c r="AP10" s="43">
        <v>1</v>
      </c>
      <c r="AQ10" s="44" t="s">
        <v>59</v>
      </c>
      <c r="AR10" s="56"/>
    </row>
    <row r="11" spans="5:44" x14ac:dyDescent="0.4">
      <c r="AL11" s="221"/>
      <c r="AM11" s="221" t="s">
        <v>60</v>
      </c>
      <c r="AN11" s="221" t="s">
        <v>78</v>
      </c>
      <c r="AO11" s="220" t="s">
        <v>74</v>
      </c>
      <c r="AP11" s="41" t="s">
        <v>54</v>
      </c>
      <c r="AQ11" s="41" t="s">
        <v>53</v>
      </c>
      <c r="AR11" s="56"/>
    </row>
    <row r="12" spans="5:44" x14ac:dyDescent="0.4">
      <c r="AL12" s="221"/>
      <c r="AM12" s="221"/>
      <c r="AN12" s="221"/>
      <c r="AO12" s="221"/>
      <c r="AP12" s="44" t="s">
        <v>55</v>
      </c>
      <c r="AQ12" s="41" t="s">
        <v>3</v>
      </c>
      <c r="AR12" s="56"/>
    </row>
    <row r="13" spans="5:44" x14ac:dyDescent="0.4">
      <c r="AL13" s="221"/>
      <c r="AM13" s="221"/>
      <c r="AN13" s="221"/>
      <c r="AO13" s="221"/>
      <c r="AP13" s="44" t="s">
        <v>56</v>
      </c>
      <c r="AQ13" s="41" t="s">
        <v>4</v>
      </c>
      <c r="AR13" s="56"/>
    </row>
    <row r="14" spans="5:44" x14ac:dyDescent="0.4">
      <c r="AL14" s="221"/>
      <c r="AM14" s="221"/>
      <c r="AN14" s="221"/>
      <c r="AO14" s="221"/>
      <c r="AP14" s="44" t="s">
        <v>57</v>
      </c>
      <c r="AQ14" s="41" t="s">
        <v>116</v>
      </c>
      <c r="AR14" s="56"/>
    </row>
    <row r="15" spans="5:44" x14ac:dyDescent="0.4">
      <c r="AL15" s="221"/>
      <c r="AM15" s="219" t="s">
        <v>61</v>
      </c>
      <c r="AN15" s="219" t="s">
        <v>79</v>
      </c>
      <c r="AO15" s="220" t="s">
        <v>75</v>
      </c>
      <c r="AP15" s="43">
        <v>0</v>
      </c>
      <c r="AQ15" s="41" t="s">
        <v>53</v>
      </c>
      <c r="AR15" s="56"/>
    </row>
    <row r="16" spans="5:44" x14ac:dyDescent="0.4">
      <c r="AL16" s="221"/>
      <c r="AM16" s="219"/>
      <c r="AN16" s="221"/>
      <c r="AO16" s="221"/>
      <c r="AP16" s="43">
        <v>1</v>
      </c>
      <c r="AQ16" s="41" t="s">
        <v>2</v>
      </c>
      <c r="AR16" s="56"/>
    </row>
    <row r="17" spans="38:44" ht="34.799999999999997" x14ac:dyDescent="0.4">
      <c r="AL17" s="221"/>
      <c r="AM17" s="44" t="s">
        <v>0</v>
      </c>
      <c r="AN17" s="44" t="s">
        <v>80</v>
      </c>
      <c r="AO17" s="42" t="s">
        <v>115</v>
      </c>
      <c r="AP17" s="44"/>
      <c r="AQ17" s="44"/>
      <c r="AR17" s="56"/>
    </row>
    <row r="18" spans="38:44" ht="34.799999999999997" x14ac:dyDescent="0.4">
      <c r="AL18" s="221"/>
      <c r="AM18" s="44" t="s">
        <v>1</v>
      </c>
      <c r="AN18" s="44" t="s">
        <v>81</v>
      </c>
      <c r="AO18" s="42" t="s">
        <v>159</v>
      </c>
      <c r="AP18" s="44"/>
      <c r="AQ18" s="44"/>
      <c r="AR18" s="56"/>
    </row>
    <row r="19" spans="38:44" ht="34.799999999999997" x14ac:dyDescent="0.4">
      <c r="AL19" s="221"/>
      <c r="AM19" s="44" t="s">
        <v>158</v>
      </c>
      <c r="AN19" s="44" t="s">
        <v>138</v>
      </c>
      <c r="AO19" s="42" t="s">
        <v>160</v>
      </c>
      <c r="AP19" s="44"/>
      <c r="AQ19" s="44"/>
      <c r="AR19" s="56"/>
    </row>
    <row r="20" spans="38:44" x14ac:dyDescent="0.4">
      <c r="AL20" s="221"/>
      <c r="AM20" s="49" t="s">
        <v>82</v>
      </c>
      <c r="AN20" s="49" t="s">
        <v>285</v>
      </c>
      <c r="AO20" s="50" t="s">
        <v>98</v>
      </c>
      <c r="AP20" s="49"/>
      <c r="AQ20" s="49"/>
      <c r="AR20" s="71" t="s">
        <v>298</v>
      </c>
    </row>
    <row r="21" spans="38:44" ht="30" customHeight="1" x14ac:dyDescent="0.4">
      <c r="AL21" s="224" t="s">
        <v>135</v>
      </c>
      <c r="AM21" s="45" t="s">
        <v>62</v>
      </c>
      <c r="AN21" s="45" t="s">
        <v>83</v>
      </c>
      <c r="AO21" s="46" t="s">
        <v>84</v>
      </c>
      <c r="AP21" s="47"/>
      <c r="AQ21" s="47"/>
      <c r="AR21" s="56"/>
    </row>
    <row r="22" spans="38:44" ht="34.799999999999997" x14ac:dyDescent="0.4">
      <c r="AL22" s="224"/>
      <c r="AM22" s="45" t="s">
        <v>64</v>
      </c>
      <c r="AN22" s="45" t="s">
        <v>90</v>
      </c>
      <c r="AO22" s="46" t="s">
        <v>86</v>
      </c>
      <c r="AP22" s="47"/>
      <c r="AQ22" s="47"/>
      <c r="AR22" s="56"/>
    </row>
    <row r="23" spans="38:44" ht="34.799999999999997" x14ac:dyDescent="0.4">
      <c r="AL23" s="226"/>
      <c r="AM23" s="45" t="s">
        <v>63</v>
      </c>
      <c r="AN23" s="45" t="s">
        <v>91</v>
      </c>
      <c r="AO23" s="46" t="s">
        <v>85</v>
      </c>
      <c r="AP23" s="47"/>
      <c r="AQ23" s="47"/>
      <c r="AR23" s="56"/>
    </row>
    <row r="24" spans="38:44" ht="34.799999999999997" x14ac:dyDescent="0.4">
      <c r="AL24" s="226"/>
      <c r="AM24" s="45" t="s">
        <v>67</v>
      </c>
      <c r="AN24" s="45" t="s">
        <v>92</v>
      </c>
      <c r="AO24" s="46" t="s">
        <v>87</v>
      </c>
      <c r="AP24" s="47"/>
      <c r="AQ24" s="47"/>
      <c r="AR24" s="56"/>
    </row>
    <row r="25" spans="38:44" ht="34.799999999999997" x14ac:dyDescent="0.4">
      <c r="AL25" s="226"/>
      <c r="AM25" s="45" t="s">
        <v>65</v>
      </c>
      <c r="AN25" s="45" t="s">
        <v>230</v>
      </c>
      <c r="AO25" s="46" t="s">
        <v>89</v>
      </c>
      <c r="AP25" s="47"/>
      <c r="AQ25" s="47"/>
      <c r="AR25" s="71" t="s">
        <v>297</v>
      </c>
    </row>
    <row r="26" spans="38:44" ht="34.799999999999997" x14ac:dyDescent="0.4">
      <c r="AL26" s="226"/>
      <c r="AM26" s="45" t="s">
        <v>66</v>
      </c>
      <c r="AN26" s="45" t="s">
        <v>231</v>
      </c>
      <c r="AO26" s="46" t="s">
        <v>88</v>
      </c>
      <c r="AP26" s="47"/>
      <c r="AQ26" s="47"/>
      <c r="AR26" s="71" t="s">
        <v>299</v>
      </c>
    </row>
    <row r="27" spans="38:44" x14ac:dyDescent="0.4">
      <c r="AL27" s="226"/>
      <c r="AM27" s="49" t="s">
        <v>82</v>
      </c>
      <c r="AN27" s="49" t="s">
        <v>93</v>
      </c>
      <c r="AO27" s="50" t="s">
        <v>98</v>
      </c>
      <c r="AP27" s="51"/>
      <c r="AQ27" s="51"/>
      <c r="AR27" s="56"/>
    </row>
    <row r="28" spans="38:44" ht="15" customHeight="1" x14ac:dyDescent="0.4">
      <c r="AL28" s="221" t="s">
        <v>136</v>
      </c>
      <c r="AM28" s="221" t="s">
        <v>114</v>
      </c>
      <c r="AN28" s="221" t="s">
        <v>101</v>
      </c>
      <c r="AO28" s="220" t="s">
        <v>97</v>
      </c>
      <c r="AP28" s="48" t="s">
        <v>54</v>
      </c>
      <c r="AQ28" s="48" t="s">
        <v>108</v>
      </c>
      <c r="AR28" s="56"/>
    </row>
    <row r="29" spans="38:44" x14ac:dyDescent="0.4">
      <c r="AL29" s="221"/>
      <c r="AM29" s="221"/>
      <c r="AN29" s="221"/>
      <c r="AO29" s="220"/>
      <c r="AP29" s="48" t="s">
        <v>55</v>
      </c>
      <c r="AQ29" s="48" t="s">
        <v>109</v>
      </c>
      <c r="AR29" s="56"/>
    </row>
    <row r="30" spans="38:44" x14ac:dyDescent="0.4">
      <c r="AL30" s="221"/>
      <c r="AM30" s="225"/>
      <c r="AN30" s="225"/>
      <c r="AO30" s="225"/>
      <c r="AP30" s="48" t="s">
        <v>56</v>
      </c>
      <c r="AQ30" s="48" t="s">
        <v>110</v>
      </c>
      <c r="AR30" s="56"/>
    </row>
    <row r="31" spans="38:44" x14ac:dyDescent="0.4">
      <c r="AL31" s="221"/>
      <c r="AM31" s="225"/>
      <c r="AN31" s="225"/>
      <c r="AO31" s="225"/>
      <c r="AP31" s="48" t="s">
        <v>57</v>
      </c>
      <c r="AQ31" s="48" t="s">
        <v>111</v>
      </c>
      <c r="AR31" s="56"/>
    </row>
    <row r="32" spans="38:44" x14ac:dyDescent="0.4">
      <c r="AL32" s="221"/>
      <c r="AM32" s="225"/>
      <c r="AN32" s="225"/>
      <c r="AO32" s="225"/>
      <c r="AP32" s="48" t="s">
        <v>102</v>
      </c>
      <c r="AQ32" s="48" t="s">
        <v>112</v>
      </c>
      <c r="AR32" s="56"/>
    </row>
    <row r="33" spans="38:44" ht="52.2" x14ac:dyDescent="0.4">
      <c r="AL33" s="221"/>
      <c r="AM33" s="44" t="s">
        <v>68</v>
      </c>
      <c r="AN33" s="44" t="s">
        <v>232</v>
      </c>
      <c r="AO33" s="42" t="s">
        <v>94</v>
      </c>
      <c r="AP33" s="48"/>
      <c r="AQ33" s="48"/>
      <c r="AR33" s="71" t="s">
        <v>297</v>
      </c>
    </row>
    <row r="34" spans="38:44" ht="15" customHeight="1" x14ac:dyDescent="0.4">
      <c r="AL34" s="221"/>
      <c r="AM34" s="221" t="s">
        <v>113</v>
      </c>
      <c r="AN34" s="221" t="s">
        <v>233</v>
      </c>
      <c r="AO34" s="220" t="s">
        <v>95</v>
      </c>
      <c r="AP34" s="48" t="s">
        <v>54</v>
      </c>
      <c r="AQ34" s="48" t="s">
        <v>103</v>
      </c>
      <c r="AR34" s="227" t="s">
        <v>300</v>
      </c>
    </row>
    <row r="35" spans="38:44" x14ac:dyDescent="0.4">
      <c r="AL35" s="221"/>
      <c r="AM35" s="221"/>
      <c r="AN35" s="221"/>
      <c r="AO35" s="220"/>
      <c r="AP35" s="48" t="s">
        <v>55</v>
      </c>
      <c r="AQ35" s="48" t="s">
        <v>104</v>
      </c>
      <c r="AR35" s="98"/>
    </row>
    <row r="36" spans="38:44" x14ac:dyDescent="0.4">
      <c r="AL36" s="221"/>
      <c r="AM36" s="225"/>
      <c r="AN36" s="225"/>
      <c r="AO36" s="225"/>
      <c r="AP36" s="48" t="s">
        <v>56</v>
      </c>
      <c r="AQ36" s="48" t="s">
        <v>105</v>
      </c>
      <c r="AR36" s="98"/>
    </row>
    <row r="37" spans="38:44" x14ac:dyDescent="0.4">
      <c r="AL37" s="221"/>
      <c r="AM37" s="225"/>
      <c r="AN37" s="225"/>
      <c r="AO37" s="225"/>
      <c r="AP37" s="48" t="s">
        <v>57</v>
      </c>
      <c r="AQ37" s="48" t="s">
        <v>106</v>
      </c>
      <c r="AR37" s="98"/>
    </row>
    <row r="38" spans="38:44" x14ac:dyDescent="0.4">
      <c r="AL38" s="221"/>
      <c r="AM38" s="225"/>
      <c r="AN38" s="225"/>
      <c r="AO38" s="225"/>
      <c r="AP38" s="48" t="s">
        <v>102</v>
      </c>
      <c r="AQ38" s="48" t="s">
        <v>107</v>
      </c>
      <c r="AR38" s="98"/>
    </row>
    <row r="39" spans="38:44" ht="52.2" x14ac:dyDescent="0.4">
      <c r="AL39" s="221"/>
      <c r="AM39" s="44" t="s">
        <v>69</v>
      </c>
      <c r="AN39" s="44" t="s">
        <v>234</v>
      </c>
      <c r="AO39" s="42" t="s">
        <v>96</v>
      </c>
      <c r="AP39" s="48"/>
      <c r="AQ39" s="48"/>
      <c r="AR39" s="71" t="s">
        <v>301</v>
      </c>
    </row>
    <row r="40" spans="38:44" x14ac:dyDescent="0.4">
      <c r="AL40" s="119"/>
      <c r="AM40" s="49" t="s">
        <v>82</v>
      </c>
      <c r="AN40" s="49" t="s">
        <v>235</v>
      </c>
      <c r="AO40" s="50" t="s">
        <v>98</v>
      </c>
      <c r="AP40" s="51"/>
      <c r="AQ40" s="51"/>
      <c r="AR40" s="71" t="s">
        <v>302</v>
      </c>
    </row>
    <row r="41" spans="38:44" ht="68.25" customHeight="1" x14ac:dyDescent="0.4">
      <c r="AL41" s="224" t="s">
        <v>137</v>
      </c>
      <c r="AM41" s="45" t="s">
        <v>100</v>
      </c>
      <c r="AN41" s="45" t="s">
        <v>168</v>
      </c>
      <c r="AO41" s="46" t="s">
        <v>165</v>
      </c>
      <c r="AP41" s="47"/>
      <c r="AQ41" s="47" t="s">
        <v>167</v>
      </c>
      <c r="AR41" s="56"/>
    </row>
    <row r="42" spans="38:44" x14ac:dyDescent="0.4">
      <c r="AL42" s="224"/>
      <c r="AM42" s="45" t="s">
        <v>99</v>
      </c>
      <c r="AN42" s="45" t="s">
        <v>169</v>
      </c>
      <c r="AO42" s="45" t="s">
        <v>166</v>
      </c>
      <c r="AP42" s="47"/>
      <c r="AQ42" s="47"/>
      <c r="AR42" s="56"/>
    </row>
    <row r="43" spans="38:44" x14ac:dyDescent="0.4">
      <c r="AL43" s="224"/>
      <c r="AM43" s="49" t="s">
        <v>82</v>
      </c>
      <c r="AN43" s="49" t="s">
        <v>170</v>
      </c>
      <c r="AO43" s="50" t="s">
        <v>98</v>
      </c>
      <c r="AP43" s="51"/>
      <c r="AQ43" s="51"/>
      <c r="AR43" s="56"/>
    </row>
  </sheetData>
  <mergeCells count="36">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 ref="AL41:AL43"/>
    <mergeCell ref="AM28:AM32"/>
    <mergeCell ref="AM9:AM10"/>
    <mergeCell ref="AM11:AM14"/>
    <mergeCell ref="AM15:AM16"/>
    <mergeCell ref="AL9:AL20"/>
    <mergeCell ref="AL21:AL27"/>
    <mergeCell ref="AL28:AL40"/>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s>
  <phoneticPr fontId="1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7.399999999999999" x14ac:dyDescent="0.4"/>
  <cols>
    <col min="3" max="3" width="12.59765625" customWidth="1"/>
    <col min="4" max="4" width="10.69921875" customWidth="1"/>
    <col min="5" max="5" width="36.69921875" customWidth="1"/>
    <col min="6" max="6" width="255.3984375" customWidth="1"/>
    <col min="7" max="7" width="6.69921875" customWidth="1"/>
  </cols>
  <sheetData>
    <row r="3" spans="5:5" ht="51.75" customHeight="1" x14ac:dyDescent="0.4">
      <c r="E3" s="3"/>
    </row>
    <row r="4" spans="5:5" x14ac:dyDescent="0.4">
      <c r="E4" s="3"/>
    </row>
    <row r="5" spans="5:5" ht="30" customHeight="1" x14ac:dyDescent="0.4"/>
    <row r="6" spans="5:5" ht="27" customHeight="1" x14ac:dyDescent="0.4"/>
    <row r="7" spans="5:5" ht="32.25" customHeight="1" x14ac:dyDescent="0.4"/>
    <row r="8" spans="5:5" ht="32.25" customHeight="1" x14ac:dyDescent="0.4"/>
  </sheetData>
  <phoneticPr fontId="14"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7.399999999999999" x14ac:dyDescent="0.4"/>
  <cols>
    <col min="3" max="3" width="12.59765625" customWidth="1"/>
    <col min="4" max="4" width="10.69921875" customWidth="1"/>
    <col min="5" max="5" width="36.69921875" customWidth="1"/>
    <col min="6" max="6" width="33" customWidth="1"/>
    <col min="7" max="7" width="17" customWidth="1"/>
    <col min="8" max="8" width="15.19921875" customWidth="1"/>
    <col min="9" max="9" width="73.69921875" customWidth="1"/>
  </cols>
  <sheetData>
    <row r="2" spans="5:9" ht="96" customHeight="1" x14ac:dyDescent="0.4">
      <c r="E2" s="3"/>
      <c r="F2" s="228" t="s">
        <v>184</v>
      </c>
      <c r="G2" s="229"/>
      <c r="H2" s="229"/>
      <c r="I2" s="229"/>
    </row>
    <row r="3" spans="5:9" x14ac:dyDescent="0.4">
      <c r="E3" s="3"/>
      <c r="F3" s="56"/>
      <c r="G3" s="56" t="s">
        <v>174</v>
      </c>
      <c r="H3" s="56" t="s">
        <v>176</v>
      </c>
      <c r="I3" s="56" t="s">
        <v>177</v>
      </c>
    </row>
    <row r="4" spans="5:9" ht="30" customHeight="1" x14ac:dyDescent="0.4">
      <c r="F4" s="56" t="s">
        <v>172</v>
      </c>
      <c r="G4" s="56" t="s">
        <v>175</v>
      </c>
      <c r="H4" s="56" t="s">
        <v>178</v>
      </c>
      <c r="I4" s="56" t="s">
        <v>179</v>
      </c>
    </row>
    <row r="5" spans="5:9" ht="27" customHeight="1" x14ac:dyDescent="0.4">
      <c r="F5" s="56" t="s">
        <v>173</v>
      </c>
      <c r="G5" s="56" t="s">
        <v>175</v>
      </c>
      <c r="H5" s="56" t="s">
        <v>180</v>
      </c>
      <c r="I5" s="56" t="s">
        <v>182</v>
      </c>
    </row>
    <row r="6" spans="5:9" ht="32.25" customHeight="1" x14ac:dyDescent="0.4">
      <c r="F6" s="56" t="s">
        <v>171</v>
      </c>
      <c r="G6" s="56" t="s">
        <v>175</v>
      </c>
      <c r="H6" s="56" t="s">
        <v>181</v>
      </c>
      <c r="I6" s="56" t="s">
        <v>183</v>
      </c>
    </row>
    <row r="7" spans="5:9" ht="32.25" customHeight="1" x14ac:dyDescent="0.4"/>
  </sheetData>
  <mergeCells count="1">
    <mergeCell ref="F2:I2"/>
  </mergeCells>
  <phoneticPr fontId="1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20</vt:i4>
      </vt:variant>
    </vt:vector>
  </HeadingPairs>
  <TitlesOfParts>
    <vt:vector size="31" baseType="lpstr">
      <vt:lpstr>Version-control</vt:lpstr>
      <vt:lpstr>Debug</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진모 김</cp:lastModifiedBy>
  <dcterms:created xsi:type="dcterms:W3CDTF">2015-06-05T18:17:20Z</dcterms:created>
  <dcterms:modified xsi:type="dcterms:W3CDTF">2025-09-19T04:07:35Z</dcterms:modified>
</cp:coreProperties>
</file>