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gaki1606\Documents\MOFC\IDD\"/>
    </mc:Choice>
  </mc:AlternateContent>
  <xr:revisionPtr revIDLastSave="0" documentId="8_{5EFE7ACC-64F0-414E-ADE2-A8C335CC9F97}" xr6:coauthVersionLast="36" xr6:coauthVersionMax="36" xr10:uidLastSave="{00000000-0000-0000-0000-000000000000}"/>
  <bookViews>
    <workbookView xWindow="0" yWindow="0" windowWidth="24915" windowHeight="7980" xr2:uid="{00000000-000D-0000-FFFF-FFFF00000000}"/>
  </bookViews>
  <sheets>
    <sheet name="Version-control" sheetId="17" r:id="rId1"/>
    <sheet name="ICD" sheetId="19" r:id="rId2"/>
    <sheet name="General" sheetId="2" r:id="rId3"/>
    <sheet name="Status Reg" sheetId="11" r:id="rId4"/>
    <sheet name="FPGA_VER_REG" sheetId="18" r:id="rId5"/>
    <sheet name="Global config" sheetId="10" r:id="rId6"/>
    <sheet name="BIT_CONFIG" sheetId="9" r:id="rId7"/>
    <sheet name="CH_CFG" sheetId="8" r:id="rId8"/>
    <sheet name="configuration flow" sheetId="14" r:id="rId9"/>
    <sheet name="Checksum-verification" sheetId="16" r:id="rId10"/>
  </sheets>
  <definedNames>
    <definedName name="_Toc160693716" localSheetId="6">BIT_CONFIG!$E$4</definedName>
    <definedName name="_Toc160693716" localSheetId="7">CH_CFG!$E$8</definedName>
    <definedName name="_Toc160693716" localSheetId="9">'Checksum-verification'!$E$3</definedName>
    <definedName name="_Toc160693716" localSheetId="8">'configuration flow'!$E$4</definedName>
    <definedName name="_Toc160693716" localSheetId="4">FPGA_VER_REG!$E$4</definedName>
    <definedName name="_Toc160693716" localSheetId="2">General!$E$39</definedName>
    <definedName name="_Toc160693716" localSheetId="5">'Global config'!$E$4</definedName>
    <definedName name="_Toc160693716" localSheetId="1">ICD!#REF!</definedName>
    <definedName name="_Toc160693716" localSheetId="3">'Status Reg'!$E$4</definedName>
    <definedName name="_Toc160693716" localSheetId="0">'Version-control'!#REF!</definedName>
    <definedName name="_Toc160693717" localSheetId="6">BIT_CONFIG!$E$3</definedName>
    <definedName name="_Toc160693717" localSheetId="7">CH_CFG!$E$7</definedName>
    <definedName name="_Toc160693717" localSheetId="9">'Checksum-verification'!$E$2</definedName>
    <definedName name="_Toc160693717" localSheetId="8">'configuration flow'!$E$3</definedName>
    <definedName name="_Toc160693717" localSheetId="4">FPGA_VER_REG!$E$3</definedName>
    <definedName name="_Toc160693717" localSheetId="2">General!$E$38</definedName>
    <definedName name="_Toc160693717" localSheetId="5">'Global config'!$E$3</definedName>
    <definedName name="_Toc160693717" localSheetId="1">ICD!#REF!</definedName>
    <definedName name="_Toc160693717" localSheetId="3">'Status Reg'!$E$3</definedName>
    <definedName name="_Toc160693717" localSheetId="0">'Version-control'!#REF!</definedName>
    <definedName name="_Toc160693718" localSheetId="6">BIT_CONFIG!$AI$6</definedName>
    <definedName name="_Toc160693718" localSheetId="7">CH_CFG!$AI$10</definedName>
    <definedName name="_Toc160693718" localSheetId="9">'Checksum-verification'!#REF!</definedName>
    <definedName name="_Toc160693718" localSheetId="8">'configuration flow'!#REF!</definedName>
    <definedName name="_Toc160693718" localSheetId="4">FPGA_VER_REG!#REF!</definedName>
    <definedName name="_Toc160693718" localSheetId="2">General!$AI$41</definedName>
    <definedName name="_Toc160693718" localSheetId="5">'Global config'!#REF!</definedName>
    <definedName name="_Toc160693718" localSheetId="1">ICD!#REF!</definedName>
    <definedName name="_Toc160693718" localSheetId="3">'Status Reg'!#REF!</definedName>
    <definedName name="_Toc160693718" localSheetId="0">'Version-control'!#REF!</definedName>
    <definedName name="_Toc198116074" localSheetId="9">'Checksum-verification'!#REF!</definedName>
    <definedName name="_Toc198116074" localSheetId="8">'configuration flow'!$F$3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8" l="1"/>
  <c r="I3" i="11" l="1"/>
  <c r="I3" i="10"/>
  <c r="I3" i="9"/>
  <c r="I8" i="2"/>
  <c r="I7" i="2"/>
  <c r="I6" i="8"/>
  <c r="I5" i="8"/>
  <c r="I4" i="8"/>
  <c r="I3" i="8"/>
  <c r="I36" i="2"/>
  <c r="I35" i="2"/>
  <c r="I14" i="2"/>
  <c r="I13" i="2"/>
  <c r="I11" i="2"/>
  <c r="I10" i="2"/>
  <c r="I9"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<sst xmlns="http://schemas.openxmlformats.org/spreadsheetml/2006/main" count="553" uniqueCount="324">
  <si>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</si>
  <si>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</si>
  <si>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</si>
  <si>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</si>
  <si>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</si>
  <si>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</si>
  <si>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</si>
  <si>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</si>
  <si>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</si>
  <si>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</si>
  <si>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</si>
  <si>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</si>
  <si>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</si>
  <si>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</si>
  <si>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</si>
  <si>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</si>
  <si>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</si>
  <si>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</si>
  <si>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</si>
  <si>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</si>
  <si>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</si>
  <si>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</si>
  <si>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</si>
  <si>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</si>
  <si>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</si>
  <si>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</si>
  <si>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</si>
  <si>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</si>
  <si>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</si>
  <si>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</si>
  <si>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</si>
  <si>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</si>
  <si>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</si>
  <si>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</si>
  <si>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</si>
  <si>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</si>
  <si>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</si>
  <si>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</si>
  <si>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</si>
  <si>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SERIAL_NUMBER</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</si>
  <si>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</si>
  <si>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</si>
  <si>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</si>
  <si>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</si>
  <si>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</si>
  <si>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</si>
  <si>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</si>
  <si>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</si>
  <si>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</si>
  <si>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</si>
  <si>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</si>
  <si>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</si>
  <si>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</si>
  <si>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</si>
  <si>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</si>
  <si>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</si>
  <si>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</si>
  <si>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</si>
  <si>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</si>
  <si>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</si>
  <si>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</si>
  <si>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</si>
  <si>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</si>
  <si>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</si>
  <si>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</si>
  <si>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</si>
  <si>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</si>
  <si>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</si>
  <si>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</si>
  <si>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</si>
  <si>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</si>
  <si>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</si>
  <si>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</si>
  <si>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</si>
  <si>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</si>
  <si>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</si>
  <si>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</si>
  <si>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</si>
  <si>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</si>
  <si>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</si>
  <si>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</si>
  <si>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</si>
  <si>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</si>
  <si>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</si>
  <si>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</si>
  <si>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</si>
  <si>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</si>
  <si>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</si>
  <si>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</si>
  <si>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</si>
  <si>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</si>
  <si>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</si>
  <si>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</si>
  <si>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</si>
  <si>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</si>
  <si>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</si>
  <si>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</si>
  <si>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</si>
  <si>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</si>
  <si>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</si>
  <si>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</si>
  <si>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</si>
  <si>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</si>
  <si>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</si>
  <si>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</si>
  <si>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</si>
  <si>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</si>
  <si>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</si>
  <si>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</si>
  <si>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</si>
  <si>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</si>
  <si>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</si>
  <si>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</si>
  <si>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</si>
  <si>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</si>
  <si>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</si>
  <si>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</si>
  <si>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</si>
  <si>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</si>
  <si>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</si>
  <si>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</si>
  <si>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</si>
  <si>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</si>
  <si>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</si>
  <si>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</si>
  <si>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</si>
  <si>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</si>
  <si>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</si>
  <si>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</si>
  <si>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</si>
  <si>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</si>
  <si>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</si>
  <si>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</si>
  <si>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</si>
  <si>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</si>
  <si>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</si>
  <si>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</si>
  <si>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</si>
  <si>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</si>
  <si>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</si>
  <si>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</si>
  <si>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</si>
  <si>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</si>
  <si>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</si>
  <si>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</si>
  <si>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</si>
  <si>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</si>
  <si>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</si>
  <si>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Arial"/>
        <family val="2"/>
        <scheme val="minor"/>
      </rPr>
      <t>Single Channel Mode (0x0)</t>
    </r>
    <r>
      <rPr>
        <sz val="11"/>
        <color theme="1"/>
        <rFont val="Arial"/>
        <family val="2"/>
        <scheme val="minor"/>
      </rPr>
      <t xml:space="preserve">: Each of the eight channels is individually configured by the master.
</t>
    </r>
    <r>
      <rPr>
        <b/>
        <sz val="11"/>
        <color theme="1"/>
        <rFont val="Arial"/>
        <family val="2"/>
        <scheme val="minor"/>
      </rPr>
      <t>Common Quad Mode (0x1)</t>
    </r>
    <r>
      <rPr>
        <sz val="11"/>
        <color theme="1"/>
        <rFont val="Arial"/>
        <family val="2"/>
        <scheme val="minor"/>
      </rPr>
      <t xml:space="preserve">: The master fills configurations for channels 1 and 2. Channel 1’s configuration is used for channels 2, 3, and 4, and channel 2’s configuration is used for channels 6, 7, and 8.
</t>
    </r>
    <r>
      <rPr>
        <b/>
        <sz val="11"/>
        <color theme="1"/>
        <rFont val="Arial"/>
        <family val="2"/>
        <scheme val="minor"/>
      </rPr>
      <t>Common Octal Mode (0x2)</t>
    </r>
    <r>
      <rPr>
        <sz val="11"/>
        <color theme="1"/>
        <rFont val="Arial"/>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</si>
  <si>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</si>
  <si>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</si>
  <si>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</si>
  <si>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</si>
  <si>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</si>
  <si>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</si>
  <si>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</si>
  <si>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</si>
  <si>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</si>
  <si>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</si>
  <si>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</si>
  <si>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</si>
  <si>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</si>
  <si>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Remarks/Enums</t>
  </si>
  <si>
    <t>Register value range: 0 to 50</t>
  </si>
  <si>
    <r>
      <t xml:space="preserve">Sets the transmitter output power from -30 dBm (max) to -80 dBm (min).
LSB = 1 dBm per step
</t>
    </r>
    <r>
      <rPr>
        <b/>
        <i/>
        <sz val="11"/>
        <color theme="1"/>
        <rFont val="Arial"/>
        <family val="2"/>
        <scheme val="minor"/>
      </rPr>
      <t>Output Power (dBm) = -30 - Register_Value</t>
    </r>
    <r>
      <rPr>
        <sz val="11"/>
        <color theme="1"/>
        <rFont val="Arial"/>
        <family val="2"/>
        <scheme val="minor"/>
      </rPr>
      <t xml:space="preserve">
</t>
    </r>
  </si>
  <si>
    <t xml:space="preserve">INTERNAL / EXTRENAL BIT
</t>
  </si>
  <si>
    <r>
      <t xml:space="preserve">Sets the local oscillator (LO) frequency 
LSB = 50 MHz per step
</t>
    </r>
    <r>
      <rPr>
        <b/>
        <i/>
        <sz val="11"/>
        <color theme="1"/>
        <rFont val="Arial"/>
        <family val="2"/>
        <scheme val="minor"/>
      </rPr>
      <t>BIT LO Frequency (MHz) = 10000 + (Register_Value × 50)</t>
    </r>
    <r>
      <rPr>
        <sz val="11"/>
        <color theme="1"/>
        <rFont val="Arial"/>
        <family val="2"/>
        <scheme val="minor"/>
      </rPr>
      <t xml:space="preserve">
Frequency range: 10000 MHz to 16750 MHz</t>
    </r>
  </si>
  <si>
    <t>Power down LO ( 1 means power down)</t>
  </si>
  <si>
    <t>Register value range: 0 (10000[mhz]) to 135 (16750[mhz])</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</si>
  <si>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</si>
  <si>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</si>
  <si>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</si>
  <si>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</si>
  <si>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</si>
  <si>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</si>
  <si>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</si>
  <si>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</si>
  <si>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</si>
  <si>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</si>
  <si>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</si>
  <si>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</si>
  <si>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</si>
  <si>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</si>
  <si>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</si>
  <si>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</si>
  <si>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</si>
  <si>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Version 1.2</t>
  </si>
  <si>
    <t>add checksum tab to explain on checksum</t>
  </si>
  <si>
    <t>at BIT config register, change and clarify the setup of the BIT LO frequency</t>
  </si>
  <si>
    <t>at BIT config register,change  and clarify the way we set the power at the bit output</t>
  </si>
  <si>
    <t>at channel connfig, change and clarify the setup of the LO frequency</t>
  </si>
  <si>
    <t>at channel -config - add DCA configuration (now we have DCA1,2,3</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</si>
  <si>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</si>
  <si>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</si>
  <si>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</si>
  <si>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</si>
  <si>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</si>
  <si>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</si>
  <si>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</si>
  <si>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</si>
  <si>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</si>
  <si>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</si>
  <si>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</si>
  <si>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</si>
  <si>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</si>
  <si>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</si>
  <si>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</si>
  <si>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</si>
  <si>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</si>
  <si>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</si>
  <si>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</si>
  <si>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</si>
  <si>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</si>
  <si>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</si>
  <si>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</si>
  <si>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</si>
  <si>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</si>
  <si>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</si>
  <si>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</si>
  <si>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</si>
  <si>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</si>
  <si>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</si>
  <si>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</si>
  <si>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</si>
  <si>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</si>
  <si>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</si>
  <si>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</si>
  <si>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</si>
  <si>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</si>
  <si>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</si>
  <si>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add description to FPGA VER REG</t>
  </si>
  <si>
    <t>[15:12]</t>
  </si>
  <si>
    <t>[19:16]</t>
  </si>
  <si>
    <t>[6:3]</t>
  </si>
  <si>
    <t>[9:7]</t>
  </si>
  <si>
    <t>[13:10]</t>
  </si>
  <si>
    <t>[23:14]</t>
  </si>
  <si>
    <t>Version 1.3</t>
  </si>
  <si>
    <t>Pin #</t>
  </si>
  <si>
    <t>Signal Name</t>
  </si>
  <si>
    <t>Direction</t>
  </si>
  <si>
    <t>Type</t>
  </si>
  <si>
    <t>SPI_CLK_P</t>
  </si>
  <si>
    <t>IN</t>
  </si>
  <si>
    <t>RS-422 differential</t>
  </si>
  <si>
    <t>SPI Clock Positive</t>
  </si>
  <si>
    <t>SPI_CLK_N</t>
  </si>
  <si>
    <t>SPI Clock Negative</t>
  </si>
  <si>
    <t>SPI_MOSI_P</t>
  </si>
  <si>
    <t>SPI Master Out, Slave In Positive</t>
  </si>
  <si>
    <t>SPI_MOSI_N</t>
  </si>
  <si>
    <t>SPI Master Out, Slave In Negative</t>
  </si>
  <si>
    <t>SPI_MISO_P</t>
  </si>
  <si>
    <t>OUT</t>
  </si>
  <si>
    <t>SPI Slave Out, Master In Positive</t>
  </si>
  <si>
    <t>SPI_MISO_N</t>
  </si>
  <si>
    <t>SPI Slave Out, Master In Negative</t>
  </si>
  <si>
    <t>SPI_CSN_P</t>
  </si>
  <si>
    <t>SPI Chip Select Not Positive (active low)</t>
  </si>
  <si>
    <t>SPI_CSN_N</t>
  </si>
  <si>
    <t>SPI Chip Select Not Negative</t>
  </si>
  <si>
    <t>RESETN_P</t>
  </si>
  <si>
    <t>Reset Line Positive (active low)</t>
  </si>
  <si>
    <t>RESETN_N</t>
  </si>
  <si>
    <t>Reset Line Negative</t>
  </si>
  <si>
    <t>RF_RDY_P</t>
  </si>
  <si>
    <t>RF Ready Positive</t>
  </si>
  <si>
    <t>RF_RDY_N</t>
  </si>
  <si>
    <t>RF Ready Negative</t>
  </si>
  <si>
    <t>RS422 RSVD + GND</t>
  </si>
  <si>
    <t>GPIO_RS422_OUT_P/SPI_MISO_CLK_P</t>
  </si>
  <si>
    <t>Reserved Output GPIO Positive</t>
  </si>
  <si>
    <t>GPIO_RS422_OUT_N/ SPI_MISO_CLK_P</t>
  </si>
  <si>
    <t>Reserved Output GPIO Negative</t>
  </si>
  <si>
    <t>INOUT</t>
  </si>
  <si>
    <t>Reserved Bidirectional GPIO Positive</t>
  </si>
  <si>
    <t>Reserved Bidirectional GPIO Negative</t>
  </si>
  <si>
    <t>GND_RS422</t>
  </si>
  <si>
    <t>—</t>
  </si>
  <si>
    <t>Ground</t>
  </si>
  <si>
    <t>GND for all RS-422 signals</t>
  </si>
  <si>
    <t>GND_RS232</t>
  </si>
  <si>
    <t xml:space="preserve">For RS-232 </t>
  </si>
  <si>
    <t>PWR_STATUS</t>
  </si>
  <si>
    <t>TTL out</t>
  </si>
  <si>
    <t>Indicate the power status of the MOFC 1- power on 0 – power off</t>
  </si>
  <si>
    <t>[23:22]</t>
  </si>
  <si>
    <t>GPIO_TTL</t>
  </si>
  <si>
    <t>TTL INOUT</t>
  </si>
  <si>
    <t>Reseverd bidirectional TTL</t>
  </si>
  <si>
    <t>GPIO_RS422_IO1_P</t>
  </si>
  <si>
    <t>GPIO_RS422_IO1_N</t>
  </si>
  <si>
    <t>added TAB ICD, remove RS232_DEBUG replace them with one RS422 GPIO, and one TTL GPIO</t>
  </si>
  <si>
    <t>GPIO_RS422_IO2_P</t>
  </si>
  <si>
    <t>GPIO_RS422_IO2_N</t>
  </si>
  <si>
    <t>CH_CFG tab &gt; CFR_REG1: fix error of reseverd bits from [23:16] to [23:22]</t>
  </si>
  <si>
    <t>CH_CFG tab &gt; CFR_REG2: fix IDD error of bit location fro filed TF3_VH from [5:2] to [15:12] and TF3_VL from [9:6] to 19:16</t>
  </si>
  <si>
    <t>CH_CFG tab &gt; CFR_REG3: fix IDD error of bit location for filed TF2_LPF_STATE, TF2_LPF_SW, TF2_HPF_STATE</t>
  </si>
  <si>
    <t>1.3 fix error bits (was [5:2])</t>
  </si>
  <si>
    <t>1.3fix error bits was [23:16]</t>
  </si>
  <si>
    <t>1.3 fix error bits (was [9:6])</t>
  </si>
  <si>
    <t>1.3 fix error bits (was [7:6])</t>
  </si>
  <si>
    <t>1.3 fix error bits (was [11:8])</t>
  </si>
  <si>
    <t>1.3 fix error bits was [23:13]</t>
  </si>
  <si>
    <t>RS422 SPI + Discrete (reset,RDY)</t>
  </si>
  <si>
    <t>TTL</t>
  </si>
  <si>
    <t>1.3 - instead of RS232_TXD</t>
  </si>
  <si>
    <t>1.3 - instead of RS232_RXD</t>
  </si>
  <si>
    <t>1.3 - instead of Debug enable</t>
  </si>
  <si>
    <t>IDD version control</t>
  </si>
  <si>
    <t>ICD version control</t>
  </si>
  <si>
    <t>10MHZ_LCK</t>
  </si>
  <si>
    <t>add field version 1.4</t>
  </si>
  <si>
    <t>10Mhz clock lock indication</t>
  </si>
  <si>
    <t>Version1.4</t>
  </si>
  <si>
    <t>Status Reg TAB -&gt; add filed 10MHZ_LCK</t>
  </si>
  <si>
    <t xml:space="preserve">
Register value range:500(500[mhz])  to 18000(18000[mhz])</t>
  </si>
  <si>
    <r>
      <t xml:space="preserve">Sets the local oscillator (LO) frequency for the bit output
LSB = 1 MHz per step
</t>
    </r>
    <r>
      <rPr>
        <b/>
        <i/>
        <sz val="11"/>
        <color theme="1"/>
        <rFont val="Arial"/>
        <family val="2"/>
        <scheme val="minor"/>
      </rPr>
      <t>BIT LO Frequency (MHz) = Register_Value [Mhz]</t>
    </r>
    <r>
      <rPr>
        <sz val="11"/>
        <color theme="1"/>
        <rFont val="Arial"/>
        <family val="2"/>
        <scheme val="minor"/>
      </rPr>
      <t xml:space="preserve">
Frequency range: 500 MHz to 18,000 MHz</t>
    </r>
  </si>
  <si>
    <t>[14:0]</t>
  </si>
  <si>
    <t>[23]</t>
  </si>
  <si>
    <t>[22]</t>
  </si>
  <si>
    <t>[15]</t>
  </si>
  <si>
    <t>Version1.5</t>
  </si>
  <si>
    <t>BIT_CFG_TAB -&gt; filed BIT_LO_FREQ changed from 10 bits to 15 bits, according to requirement of 1[Mhz]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</si>
</sst>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amily val="2"/>
      <scheme val="minor"/>
    </font>
    <font>
      <sz val="11"/>
      <color theme="1"/>
      <name val="Arial"/>
      <family val="2"/>
      <scheme val="minor"/>
    </font>
    <font>
      <sz val="11"/>
      <color rgb="FF006100"/>
      <name val="Arial"/>
      <family val="2"/>
      <scheme val="minor"/>
    </font>
    <font>
      <sz val="11"/>
      <color rgb="FF9C5700"/>
      <name val="Arial"/>
      <family val="2"/>
      <scheme val="minor"/>
    </font>
    <font>
      <b/>
      <sz val="11"/>
      <color theme="1"/>
      <name val="Arial"/>
      <family val="2"/>
    </font>
    <font>
      <sz val="10"/>
      <color theme="1"/>
      <name val="Arial"/>
      <family val="2"/>
      <scheme val="minor"/>
    </font>
    <font>
      <b/>
      <sz val="10"/>
      <color theme="1"/>
      <name val="Arial"/>
      <family val="2"/>
      <scheme val="minor"/>
    </font>
    <font>
      <b/>
      <sz val="11"/>
      <color theme="1"/>
      <name val="Arial"/>
      <family val="2"/>
      <scheme val="minor"/>
    </font>
    <font>
      <b/>
      <i/>
      <sz val="11"/>
      <color theme="1"/>
      <name val="Arial"/>
      <family val="2"/>
      <scheme val="minor"/>
    </font>
    <font>
      <sz val="11"/>
      <color theme="1"/>
      <name val="Arial"/>
      <family val="2"/>
    </font>
    <font>
      <b/>
      <sz val="11"/>
      <color rgb="FFFFFFFF"/>
      <name val="Arial"/>
      <family val="2"/>
    </font>
    <font>
      <sz val="11"/>
      <color rgb="FF000000"/>
      <name val="Arial"/>
      <family val="2"/>
    </font>
    <font>
      <b/>
      <sz val="11"/>
      <color rgb="FF000000"/>
      <name val="Arial"/>
      <family val="2"/>
    </font>
    <font>
      <sz val="11"/>
      <color rgb="FF3F3F76"/>
      <name val="Arial"/>
      <family val="2"/>
    </font>
  </fonts>
  <fills count="16">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5" tint="0.39997558519241921"/>
        <bgColor indexed="64"/>
      </patternFill>
    </fill>
    <fill>
      <patternFill patternType="solid">
        <fgColor rgb="FFFFCC99"/>
        <bgColor indexed="64"/>
      </patternFill>
    </fill>
    <fill>
      <patternFill patternType="solid">
        <fgColor theme="5" tint="0.7999816888943144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7F7F7F"/>
      </right>
      <top/>
      <bottom style="medium">
        <color rgb="FF7F7F7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186">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49" fontId="0" fillId="9" borderId="1" xfId="0" applyNumberFormat="1" applyFill="1" applyBorder="1" applyAlignment="1">
      <alignment horizontal="center" vertical="center"/>
    </xf>
    <xf numFmtId="0" fontId="0" fillId="10" borderId="1" xfId="0" applyFill="1" applyBorder="1" applyAlignment="1">
      <alignment horizontal="center" vertical="center"/>
    </xf>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0" borderId="1" xfId="0" applyFont="1" applyBorder="1" applyAlignment="1">
      <alignment horizontal="center" vertical="center"/>
    </xf>
    <xf numFmtId="0" fontId="2" fillId="3" borderId="1" xfId="1" applyBorder="1" applyAlignment="1">
      <alignment horizontal="center" vertical="center"/>
    </xf>
    <xf numFmtId="0" fontId="5" fillId="2" borderId="6" xfId="0" applyFont="1" applyFill="1" applyBorder="1" applyAlignment="1">
      <alignment horizontal="center" vertical="center"/>
    </xf>
    <xf numFmtId="0" fontId="0" fillId="0" borderId="1" xfId="0" applyBorder="1"/>
    <xf numFmtId="0" fontId="10" fillId="11" borderId="32"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0" fillId="11" borderId="34"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12" borderId="36" xfId="0" applyFont="1" applyFill="1" applyBorder="1" applyAlignment="1">
      <alignment horizontal="justify" vertical="center" wrapText="1"/>
    </xf>
    <xf numFmtId="0" fontId="4"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justify" vertical="center" wrapText="1"/>
    </xf>
    <xf numFmtId="0" fontId="9" fillId="12" borderId="38" xfId="0" applyFont="1" applyFill="1" applyBorder="1" applyAlignment="1">
      <alignment horizontal="justify" vertical="center" wrapText="1"/>
    </xf>
    <xf numFmtId="0" fontId="9" fillId="0" borderId="38" xfId="0" applyFont="1" applyBorder="1" applyAlignment="1">
      <alignment horizontal="justify" vertical="center" wrapText="1"/>
    </xf>
    <xf numFmtId="49" fontId="10" fillId="11" borderId="33" xfId="0" applyNumberFormat="1" applyFont="1" applyFill="1" applyBorder="1" applyAlignment="1">
      <alignment horizontal="center" vertical="center" wrapText="1"/>
    </xf>
    <xf numFmtId="49" fontId="9" fillId="12" borderId="36"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0" fontId="0" fillId="0" borderId="1" xfId="0" applyFill="1" applyBorder="1"/>
    <xf numFmtId="0" fontId="0" fillId="13" borderId="1" xfId="0" applyFill="1" applyBorder="1"/>
    <xf numFmtId="0" fontId="12" fillId="0" borderId="41"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8" xfId="0" applyFont="1" applyBorder="1" applyAlignment="1">
      <alignment horizontal="left" vertical="center" wrapText="1" readingOrder="1"/>
    </xf>
    <xf numFmtId="0" fontId="13" fillId="14" borderId="43" xfId="0" applyFont="1" applyFill="1" applyBorder="1" applyAlignment="1">
      <alignment horizontal="left" vertical="center" wrapText="1" readingOrder="1"/>
    </xf>
    <xf numFmtId="0" fontId="9" fillId="0" borderId="43" xfId="0" applyFont="1" applyBorder="1" applyAlignment="1">
      <alignment horizontal="left" vertical="center" wrapText="1" readingOrder="1"/>
    </xf>
    <xf numFmtId="0" fontId="11" fillId="5" borderId="18" xfId="0" applyFont="1" applyFill="1" applyBorder="1" applyAlignment="1">
      <alignment horizontal="left" vertical="center" wrapText="1" readingOrder="1"/>
    </xf>
    <xf numFmtId="0" fontId="11" fillId="0" borderId="42" xfId="0" applyFont="1" applyBorder="1" applyAlignment="1">
      <alignment horizontal="left" vertical="center" wrapText="1" readingOrder="1"/>
    </xf>
    <xf numFmtId="0" fontId="11" fillId="0" borderId="44" xfId="0" applyFont="1" applyBorder="1" applyAlignment="1">
      <alignment horizontal="left" vertical="center" readingOrder="1"/>
    </xf>
    <xf numFmtId="0" fontId="12" fillId="0" borderId="40" xfId="0" applyFont="1" applyBorder="1" applyAlignment="1">
      <alignment horizontal="center" vertical="center" wrapText="1" readingOrder="1"/>
    </xf>
    <xf numFmtId="0" fontId="11" fillId="5" borderId="42" xfId="0" applyFont="1" applyFill="1" applyBorder="1" applyAlignment="1">
      <alignment horizontal="left" vertical="center" wrapText="1" readingOrder="1"/>
    </xf>
    <xf numFmtId="0" fontId="5" fillId="15" borderId="1" xfId="0" applyFont="1" applyFill="1" applyBorder="1" applyAlignment="1">
      <alignment horizontal="center" vertical="center" textRotation="180"/>
    </xf>
    <xf numFmtId="0" fontId="0" fillId="15" borderId="0" xfId="0" applyFill="1"/>
    <xf numFmtId="0" fontId="0" fillId="0" borderId="3" xfId="0" applyFill="1" applyBorder="1"/>
    <xf numFmtId="0" fontId="0" fillId="0" borderId="40" xfId="0" applyBorder="1"/>
    <xf numFmtId="0" fontId="0" fillId="2" borderId="1" xfId="0" applyFill="1" applyBorder="1" applyAlignment="1">
      <alignment horizontal="center" vertical="center"/>
    </xf>
    <xf numFmtId="49" fontId="0" fillId="2" borderId="1" xfId="0" applyNumberFormat="1" applyFill="1" applyBorder="1" applyAlignment="1">
      <alignment horizontal="center" vertical="center"/>
    </xf>
    <xf numFmtId="0" fontId="5" fillId="2" borderId="2" xfId="0" applyFont="1" applyFill="1" applyBorder="1" applyAlignment="1">
      <alignment horizontal="center" vertical="center"/>
    </xf>
    <xf numFmtId="0" fontId="0" fillId="0" borderId="1" xfId="0" applyBorder="1" applyAlignment="1"/>
    <xf numFmtId="0" fontId="0" fillId="0" borderId="6" xfId="0" applyBorder="1" applyAlignment="1"/>
    <xf numFmtId="0" fontId="0" fillId="0" borderId="23" xfId="0" applyBorder="1" applyAlignment="1"/>
    <xf numFmtId="0" fontId="11" fillId="0" borderId="45" xfId="0" applyFont="1" applyBorder="1" applyAlignment="1">
      <alignment horizontal="left" vertical="center" wrapText="1" readingOrder="1"/>
    </xf>
    <xf numFmtId="0" fontId="0" fillId="0" borderId="46" xfId="0" applyBorder="1" applyAlignment="1">
      <alignment wrapText="1"/>
    </xf>
    <xf numFmtId="0" fontId="0" fillId="0" borderId="47" xfId="0" applyBorder="1" applyAlignment="1">
      <alignment wrapText="1"/>
    </xf>
    <xf numFmtId="0" fontId="0" fillId="0" borderId="46" xfId="0" applyBorder="1" applyAlignment="1">
      <alignment horizontal="left" vertical="center" readingOrder="1"/>
    </xf>
    <xf numFmtId="0" fontId="0" fillId="0" borderId="47" xfId="0" applyBorder="1" applyAlignment="1">
      <alignment horizontal="left" vertical="center" readingOrder="1"/>
    </xf>
    <xf numFmtId="0" fontId="11" fillId="0" borderId="45" xfId="0" applyFont="1" applyBorder="1" applyAlignment="1">
      <alignment horizontal="left" vertical="center" readingOrder="1"/>
    </xf>
    <xf numFmtId="0" fontId="2" fillId="3" borderId="1" xfId="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5"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4" fillId="12" borderId="39" xfId="0" applyFont="1" applyFill="1" applyBorder="1" applyAlignment="1">
      <alignment horizontal="center" vertical="center" wrapText="1"/>
    </xf>
    <xf numFmtId="0" fontId="4" fillId="12" borderId="35" xfId="0" applyFont="1" applyFill="1" applyBorder="1" applyAlignment="1">
      <alignment horizontal="center" vertical="center" wrapText="1"/>
    </xf>
    <xf numFmtId="49" fontId="9" fillId="12" borderId="39" xfId="0" applyNumberFormat="1"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0" fontId="9" fillId="12" borderId="39"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0" fontId="9" fillId="0" borderId="39" xfId="0" applyFont="1" applyBorder="1" applyAlignment="1">
      <alignment horizontal="center" vertical="center" wrapText="1"/>
    </xf>
    <xf numFmtId="0" fontId="9" fillId="0" borderId="35" xfId="0" applyFont="1" applyBorder="1" applyAlignment="1">
      <alignment horizontal="center" vertical="center" wrapText="1"/>
    </xf>
    <xf numFmtId="0" fontId="4" fillId="12" borderId="37" xfId="0" applyFont="1" applyFill="1" applyBorder="1" applyAlignment="1">
      <alignment horizontal="center" vertical="center" wrapText="1"/>
    </xf>
    <xf numFmtId="49" fontId="9" fillId="12" borderId="37" xfId="0" applyNumberFormat="1" applyFont="1" applyFill="1" applyBorder="1" applyAlignment="1">
      <alignment horizontal="center" vertical="center" wrapText="1"/>
    </xf>
    <xf numFmtId="0" fontId="9" fillId="12" borderId="37" xfId="0" applyFont="1" applyFill="1" applyBorder="1" applyAlignment="1">
      <alignment horizontal="center" vertical="center" wrapText="1"/>
    </xf>
    <xf numFmtId="0" fontId="0" fillId="9" borderId="6" xfId="0" applyFill="1" applyBorder="1" applyAlignment="1">
      <alignment horizontal="left" vertical="center" wrapText="1"/>
    </xf>
    <xf numFmtId="0" fontId="0" fillId="9" borderId="23" xfId="0" applyFill="1" applyBorder="1" applyAlignment="1">
      <alignment horizontal="left" vertical="center" wrapText="1"/>
    </xf>
    <xf numFmtId="0" fontId="0" fillId="9" borderId="6" xfId="0" applyFill="1" applyBorder="1" applyAlignment="1">
      <alignment horizontal="center" vertical="center"/>
    </xf>
    <xf numFmtId="0" fontId="0" fillId="9" borderId="23" xfId="0" applyFill="1" applyBorder="1" applyAlignment="1">
      <alignment horizontal="center" vertical="center"/>
    </xf>
    <xf numFmtId="0" fontId="0" fillId="9" borderId="22" xfId="0" applyFill="1"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49" fontId="0" fillId="9" borderId="1" xfId="0" applyNumberFormat="1" applyFill="1" applyBorder="1" applyAlignment="1">
      <alignment horizontal="center" vertical="center"/>
    </xf>
    <xf numFmtId="1" fontId="0" fillId="9" borderId="24" xfId="0" applyNumberForma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49" fontId="0" fillId="9" borderId="24" xfId="0" applyNumberFormat="1" applyFill="1" applyBorder="1" applyAlignment="1">
      <alignment horizontal="center" vertical="center" wrapText="1"/>
    </xf>
    <xf numFmtId="0" fontId="0" fillId="0" borderId="5" xfId="0" applyBorder="1" applyAlignment="1">
      <alignment horizontal="center" vertical="center"/>
    </xf>
    <xf numFmtId="0" fontId="0" fillId="0" borderId="28" xfId="0" applyBorder="1" applyAlignment="1">
      <alignment horizontal="center" vertical="center"/>
    </xf>
    <xf numFmtId="0" fontId="0" fillId="0" borderId="2" xfId="0"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13" borderId="1" xfId="0" applyFill="1" applyBorder="1" applyAlignment="1"/>
    <xf numFmtId="0" fontId="0" fillId="9" borderId="1" xfId="0" applyFill="1" applyBorder="1"/>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wrapText="1"/>
    </xf>
    <xf numFmtId="0" fontId="0" fillId="0" borderId="0" xfId="0" applyAlignment="1"/>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8" Type="http://schemas.openxmlformats.org/officeDocument/2006/relationships/customXml" Target="../ink/ink7.xml"/><Relationship Id="rId13" Type="http://schemas.openxmlformats.org/officeDocument/2006/relationships/image" Target="../media/image17.png"/><Relationship Id="rId26" Type="http://schemas.openxmlformats.org/officeDocument/2006/relationships/customXml" Target="../ink/ink14.xml"/><Relationship Id="rId3" Type="http://schemas.openxmlformats.org/officeDocument/2006/relationships/image" Target="../media/image11.png"/><Relationship Id="rId34" Type="http://schemas.openxmlformats.org/officeDocument/2006/relationships/customXml" Target="../ink/ink18.xml"/><Relationship Id="rId21" Type="http://schemas.openxmlformats.org/officeDocument/2006/relationships/image" Target="../media/image21.png"/><Relationship Id="rId7" Type="http://schemas.openxmlformats.org/officeDocument/2006/relationships/image" Target="../media/image14.png"/><Relationship Id="rId12" Type="http://schemas.openxmlformats.org/officeDocument/2006/relationships/customXml" Target="../ink/ink9.xml"/><Relationship Id="rId25" Type="http://schemas.openxmlformats.org/officeDocument/2006/relationships/image" Target="../media/image23.png"/><Relationship Id="rId33" Type="http://schemas.openxmlformats.org/officeDocument/2006/relationships/image" Target="../media/image27.png"/><Relationship Id="rId2" Type="http://schemas.openxmlformats.org/officeDocument/2006/relationships/image" Target="../media/image10.png"/><Relationship Id="rId16" Type="http://schemas.openxmlformats.org/officeDocument/2006/relationships/customXml" Target="../ink/ink11.xml"/><Relationship Id="rId20" Type="http://schemas.openxmlformats.org/officeDocument/2006/relationships/customXml" Target="../ink/ink12.xml"/><Relationship Id="rId29"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6.png"/><Relationship Id="rId24" Type="http://schemas.openxmlformats.org/officeDocument/2006/relationships/customXml" Target="../ink/ink13.xml"/><Relationship Id="rId32" Type="http://schemas.openxmlformats.org/officeDocument/2006/relationships/customXml" Target="../ink/ink17.xml"/><Relationship Id="rId37" Type="http://schemas.openxmlformats.org/officeDocument/2006/relationships/customXml" Target="../ink/ink20.xml"/><Relationship Id="rId5" Type="http://schemas.openxmlformats.org/officeDocument/2006/relationships/image" Target="../media/image12.png"/><Relationship Id="rId15" Type="http://schemas.openxmlformats.org/officeDocument/2006/relationships/image" Target="../media/image18.png"/><Relationship Id="rId23" Type="http://schemas.openxmlformats.org/officeDocument/2006/relationships/image" Target="../media/image22.png"/><Relationship Id="rId28" Type="http://schemas.openxmlformats.org/officeDocument/2006/relationships/customXml" Target="../ink/ink15.xml"/><Relationship Id="rId36" Type="http://schemas.openxmlformats.org/officeDocument/2006/relationships/customXml" Target="../ink/ink19.xml"/><Relationship Id="rId10" Type="http://schemas.openxmlformats.org/officeDocument/2006/relationships/customXml" Target="../ink/ink8.xml"/><Relationship Id="rId19" Type="http://schemas.openxmlformats.org/officeDocument/2006/relationships/image" Target="../media/image20.png"/><Relationship Id="rId31" Type="http://schemas.openxmlformats.org/officeDocument/2006/relationships/image" Target="../media/image26.png"/><Relationship Id="rId4" Type="http://schemas.openxmlformats.org/officeDocument/2006/relationships/image" Target="../media/image2.png"/><Relationship Id="rId9" Type="http://schemas.openxmlformats.org/officeDocument/2006/relationships/image" Target="../media/image15.png"/><Relationship Id="rId14" Type="http://schemas.openxmlformats.org/officeDocument/2006/relationships/customXml" Target="../ink/ink10.xml"/><Relationship Id="rId27" Type="http://schemas.openxmlformats.org/officeDocument/2006/relationships/image" Target="../media/image24.png"/><Relationship Id="rId30" Type="http://schemas.openxmlformats.org/officeDocument/2006/relationships/customXml" Target="../ink/ink16.xml"/><Relationship Id="rId35" Type="http://schemas.openxmlformats.org/officeDocument/2006/relationships/image" Target="../media/image2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15369</xdr:colOff>
      <xdr:row>66</xdr:row>
      <xdr:rowOff>123266</xdr:rowOff>
    </xdr:from>
    <xdr:to>
      <xdr:col>38</xdr:col>
      <xdr:colOff>3239157</xdr:colOff>
      <xdr:row>74</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2184346</xdr:colOff>
      <xdr:row>12</xdr:row>
      <xdr:rowOff>91249</xdr:rowOff>
    </xdr:from>
    <xdr:to>
      <xdr:col>33</xdr:col>
      <xdr:colOff>312963</xdr:colOff>
      <xdr:row>42</xdr:row>
      <xdr:rowOff>153993</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7596" y="3248106"/>
          <a:ext cx="13409438" cy="5369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13</xdr:col>
      <xdr:colOff>299356</xdr:colOff>
      <xdr:row>3</xdr:row>
      <xdr:rowOff>0</xdr:rowOff>
    </xdr:from>
    <xdr:to>
      <xdr:col>14</xdr:col>
      <xdr:colOff>108857</xdr:colOff>
      <xdr:row>18</xdr:row>
      <xdr:rowOff>40822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flipH="1">
            <a:off x="11375570" y="1102179"/>
            <a:ext cx="176894" cy="3156857"/>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18</xdr:row>
      <xdr:rowOff>136869</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358585</xdr:colOff>
      <xdr:row>3</xdr:row>
      <xdr:rowOff>27213</xdr:rowOff>
    </xdr:from>
    <xdr:to>
      <xdr:col>10</xdr:col>
      <xdr:colOff>190499</xdr:colOff>
      <xdr:row>22</xdr:row>
      <xdr:rowOff>63499</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65228" y="1129392"/>
            <a:ext cx="199307" cy="3859893"/>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9</xdr:col>
      <xdr:colOff>258536</xdr:colOff>
      <xdr:row>3</xdr:row>
      <xdr:rowOff>81642</xdr:rowOff>
    </xdr:from>
    <xdr:to>
      <xdr:col>26</xdr:col>
      <xdr:colOff>327834</xdr:colOff>
      <xdr:row>18</xdr:row>
      <xdr:rowOff>167389</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9865179" y="1183821"/>
            <a:ext cx="6314976" cy="3201782"/>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13</xdr:col>
      <xdr:colOff>299357</xdr:colOff>
      <xdr:row>2</xdr:row>
      <xdr:rowOff>707571</xdr:rowOff>
    </xdr:from>
    <xdr:to>
      <xdr:col>22</xdr:col>
      <xdr:colOff>340179</xdr:colOff>
      <xdr:row>18</xdr:row>
      <xdr:rowOff>108857</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1375571" y="1061357"/>
            <a:ext cx="3347358" cy="326571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711200</xdr:colOff>
      <xdr:row>12</xdr:row>
      <xdr:rowOff>126999</xdr:rowOff>
    </xdr:from>
    <xdr:to>
      <xdr:col>34</xdr:col>
      <xdr:colOff>292100</xdr:colOff>
      <xdr:row>22</xdr:row>
      <xdr:rowOff>138112</xdr:rowOff>
    </xdr:to>
    <xdr:pic>
      <xdr:nvPicPr>
        <xdr:cNvPr id="11" name="Picture 10">
          <a:extLst>
            <a:ext uri="{FF2B5EF4-FFF2-40B4-BE49-F238E27FC236}">
              <a16:creationId xmlns:a16="http://schemas.microsoft.com/office/drawing/2014/main" id="{95086729-D26D-4281-92DA-25CFC0B49758}"/>
            </a:ext>
          </a:extLst>
        </xdr:cNvPr>
        <xdr:cNvPicPr>
          <a:picLocks noChangeAspect="1"/>
        </xdr:cNvPicPr>
      </xdr:nvPicPr>
      <xdr:blipFill>
        <a:blip xmlns:r="http://schemas.openxmlformats.org/officeDocument/2006/relationships" r:embed="rId1"/>
        <a:stretch>
          <a:fillRect/>
        </a:stretch>
      </xdr:blipFill>
      <xdr:spPr>
        <a:xfrm>
          <a:off x="3048000" y="4229099"/>
          <a:ext cx="16408400" cy="2754313"/>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2444962</xdr:colOff>
      <xdr:row>76</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4</xdr:col>
      <xdr:colOff>1618963</xdr:colOff>
      <xdr:row>9</xdr:row>
      <xdr:rowOff>26867</xdr:rowOff>
    </xdr:from>
    <xdr:to>
      <xdr:col>38</xdr:col>
      <xdr:colOff>40838</xdr:colOff>
      <xdr:row>14</xdr:row>
      <xdr:rowOff>7847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DA300E10-A632-8195-AB7C-6657F0FCA478}"/>
                </a:ext>
              </a:extLst>
            </xdr14:cNvPr>
            <xdr14:cNvContentPartPr/>
          </xdr14:nvContentPartPr>
          <xdr14:nvPr macro=""/>
          <xdr14:xfrm>
            <a:off x="4408427" y="3632760"/>
            <a:ext cx="15117840" cy="933480"/>
          </xdr14:xfrm>
        </xdr:contentPart>
      </mc:Choice>
      <mc:Fallback xmlns="">
        <xdr:pic>
          <xdr:nvPicPr>
            <xdr:cNvPr id="12" name="Ink 11">
              <a:extLst>
                <a:ext uri="{FF2B5EF4-FFF2-40B4-BE49-F238E27FC236}">
                  <a16:creationId xmlns:a16="http://schemas.microsoft.com/office/drawing/2014/main" id="{DA300E10-A632-8195-AB7C-6657F0FCA478}"/>
                </a:ext>
              </a:extLst>
            </xdr:cNvPr>
            <xdr:cNvPicPr/>
          </xdr:nvPicPr>
          <xdr:blipFill>
            <a:blip xmlns:r="http://schemas.openxmlformats.org/officeDocument/2006/relationships" r:embed="rId9"/>
            <a:stretch>
              <a:fillRect/>
            </a:stretch>
          </xdr:blipFill>
          <xdr:spPr>
            <a:xfrm>
              <a:off x="4403720" y="3628080"/>
              <a:ext cx="15126530" cy="942120"/>
            </a:xfrm>
            <a:prstGeom prst="rect">
              <a:avLst/>
            </a:prstGeom>
          </xdr:spPr>
        </xdr:pic>
      </mc:Fallback>
    </mc:AlternateContent>
    <xdr:clientData/>
  </xdr:twoCellAnchor>
  <xdr:twoCellAnchor editAs="oneCell">
    <xdr:from>
      <xdr:col>33</xdr:col>
      <xdr:colOff>336321</xdr:colOff>
      <xdr:row>15</xdr:row>
      <xdr:rowOff>27227</xdr:rowOff>
    </xdr:from>
    <xdr:to>
      <xdr:col>38</xdr:col>
      <xdr:colOff>109238</xdr:colOff>
      <xdr:row>16</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24</xdr:col>
      <xdr:colOff>149520</xdr:colOff>
      <xdr:row>12</xdr:row>
      <xdr:rowOff>95087</xdr:rowOff>
    </xdr:from>
    <xdr:to>
      <xdr:col>38</xdr:col>
      <xdr:colOff>176918</xdr:colOff>
      <xdr:row>18</xdr:row>
      <xdr:rowOff>280562</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E1775FFA-4362-BE23-C753-9CE7CFF1EF12}"/>
                </a:ext>
              </a:extLst>
            </xdr14:cNvPr>
            <xdr14:cNvContentPartPr/>
          </xdr14:nvContentPartPr>
          <xdr14:nvPr macro=""/>
          <xdr14:xfrm>
            <a:off x="13307627" y="4272480"/>
            <a:ext cx="6354720" cy="1719000"/>
          </xdr14:xfrm>
        </xdr:contentPart>
      </mc:Choice>
      <mc:Fallback xmlns="">
        <xdr:pic>
          <xdr:nvPicPr>
            <xdr:cNvPr id="16" name="Ink 15">
              <a:extLst>
                <a:ext uri="{FF2B5EF4-FFF2-40B4-BE49-F238E27FC236}">
                  <a16:creationId xmlns:a16="http://schemas.microsoft.com/office/drawing/2014/main" id="{E1775FFA-4362-BE23-C753-9CE7CFF1EF12}"/>
                </a:ext>
              </a:extLst>
            </xdr:cNvPr>
            <xdr:cNvPicPr/>
          </xdr:nvPicPr>
          <xdr:blipFill>
            <a:blip xmlns:r="http://schemas.openxmlformats.org/officeDocument/2006/relationships" r:embed="rId13"/>
            <a:stretch>
              <a:fillRect/>
            </a:stretch>
          </xdr:blipFill>
          <xdr:spPr>
            <a:xfrm>
              <a:off x="13303291" y="4267800"/>
              <a:ext cx="6363392" cy="1727640"/>
            </a:xfrm>
            <a:prstGeom prst="rect">
              <a:avLst/>
            </a:prstGeom>
          </xdr:spPr>
        </xdr:pic>
      </mc:Fallback>
    </mc:AlternateContent>
    <xdr:clientData/>
  </xdr:twoCellAnchor>
  <xdr:twoCellAnchor editAs="oneCell">
    <xdr:from>
      <xdr:col>4</xdr:col>
      <xdr:colOff>2173723</xdr:colOff>
      <xdr:row>18</xdr:row>
      <xdr:rowOff>313462</xdr:rowOff>
    </xdr:from>
    <xdr:to>
      <xdr:col>24</xdr:col>
      <xdr:colOff>244929</xdr:colOff>
      <xdr:row>24</xdr:row>
      <xdr:rowOff>176894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53A690AD-EAF7-E3E0-6DE6-449349AC0835}"/>
                </a:ext>
              </a:extLst>
            </xdr14:cNvPr>
            <xdr14:cNvContentPartPr/>
          </xdr14:nvContentPartPr>
          <xdr14:nvPr macro=""/>
          <xdr14:xfrm>
            <a:off x="4963187" y="5633855"/>
            <a:ext cx="8439849" cy="1958932"/>
          </xdr14:xfrm>
        </xdr:contentPart>
      </mc:Choice>
      <mc:Fallback xmlns="">
        <xdr:pic>
          <xdr:nvPicPr>
            <xdr:cNvPr id="17" name="Ink 16">
              <a:extLst>
                <a:ext uri="{FF2B5EF4-FFF2-40B4-BE49-F238E27FC236}">
                  <a16:creationId xmlns:a16="http://schemas.microsoft.com/office/drawing/2014/main" id="{53A690AD-EAF7-E3E0-6DE6-449349AC0835}"/>
                </a:ext>
              </a:extLst>
            </xdr:cNvPr>
            <xdr:cNvPicPr/>
          </xdr:nvPicPr>
          <xdr:blipFill>
            <a:blip xmlns:r="http://schemas.openxmlformats.org/officeDocument/2006/relationships" r:embed="rId15"/>
            <a:stretch>
              <a:fillRect/>
            </a:stretch>
          </xdr:blipFill>
          <xdr:spPr>
            <a:xfrm>
              <a:off x="4958834" y="5629535"/>
              <a:ext cx="8448555" cy="1967571"/>
            </a:xfrm>
            <a:prstGeom prst="rect">
              <a:avLst/>
            </a:prstGeom>
          </xdr:spPr>
        </xdr:pic>
      </mc:Fallback>
    </mc:AlternateContent>
    <xdr:clientData/>
  </xdr:twoCellAnchor>
  <xdr:twoCellAnchor editAs="oneCell">
    <xdr:from>
      <xdr:col>5</xdr:col>
      <xdr:colOff>981197</xdr:colOff>
      <xdr:row>5</xdr:row>
      <xdr:rowOff>597637</xdr:rowOff>
    </xdr:from>
    <xdr:to>
      <xdr:col>38</xdr:col>
      <xdr:colOff>152400</xdr:colOff>
      <xdr:row>16</xdr:row>
      <xdr:rowOff>48984</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161D0B8F-4D78-773E-0AC0-10A466B5DA35}"/>
                </a:ext>
              </a:extLst>
            </xdr14:cNvPr>
            <xdr14:cNvContentPartPr/>
          </xdr14:nvContentPartPr>
          <xdr14:nvPr macro=""/>
          <xdr14:xfrm>
            <a:off x="6927518" y="2883637"/>
            <a:ext cx="15608632" cy="1968668"/>
          </xdr14:xfrm>
        </xdr:contentPart>
      </mc:Choice>
      <mc:Fallback xmlns="">
        <xdr:pic>
          <xdr:nvPicPr>
            <xdr:cNvPr id="20" name="Ink 19">
              <a:extLst>
                <a:ext uri="{FF2B5EF4-FFF2-40B4-BE49-F238E27FC236}">
                  <a16:creationId xmlns:a16="http://schemas.microsoft.com/office/drawing/2014/main" id="{161D0B8F-4D78-773E-0AC0-10A466B5DA35}"/>
                </a:ext>
              </a:extLst>
            </xdr:cNvPr>
            <xdr:cNvPicPr/>
          </xdr:nvPicPr>
          <xdr:blipFill>
            <a:blip xmlns:r="http://schemas.openxmlformats.org/officeDocument/2006/relationships" r:embed="rId19"/>
            <a:stretch>
              <a:fillRect/>
            </a:stretch>
          </xdr:blipFill>
          <xdr:spPr>
            <a:xfrm>
              <a:off x="6215601" y="3491640"/>
              <a:ext cx="13437412" cy="1738080"/>
            </a:xfrm>
            <a:prstGeom prst="rect">
              <a:avLst/>
            </a:prstGeom>
          </xdr:spPr>
        </xdr:pic>
      </mc:Fallback>
    </mc:AlternateContent>
    <xdr:clientData/>
  </xdr:twoCellAnchor>
  <xdr:twoCellAnchor editAs="oneCell">
    <xdr:from>
      <xdr:col>37</xdr:col>
      <xdr:colOff>904041</xdr:colOff>
      <xdr:row>20</xdr:row>
      <xdr:rowOff>108227</xdr:rowOff>
    </xdr:from>
    <xdr:to>
      <xdr:col>38</xdr:col>
      <xdr:colOff>13478</xdr:colOff>
      <xdr:row>22</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5</xdr:col>
      <xdr:colOff>1473199</xdr:colOff>
      <xdr:row>16</xdr:row>
      <xdr:rowOff>0</xdr:rowOff>
    </xdr:from>
    <xdr:to>
      <xdr:col>37</xdr:col>
      <xdr:colOff>941900</xdr:colOff>
      <xdr:row>21</xdr:row>
      <xdr:rowOff>268337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B1F2405-993F-9D3F-8FC7-6FD62F50D590}"/>
                </a:ext>
              </a:extLst>
            </xdr14:cNvPr>
            <xdr14:cNvContentPartPr/>
          </xdr14:nvContentPartPr>
          <xdr14:nvPr macro=""/>
          <xdr14:xfrm>
            <a:off x="7442199" y="4864100"/>
            <a:ext cx="14556301" cy="1932037"/>
          </xdr14:xfrm>
        </xdr:contentPart>
      </mc:Choice>
      <mc:Fallback xmlns="">
        <xdr:pic>
          <xdr:nvPicPr>
            <xdr:cNvPr id="23" name="Ink 22">
              <a:extLst>
                <a:ext uri="{FF2B5EF4-FFF2-40B4-BE49-F238E27FC236}">
                  <a16:creationId xmlns:a16="http://schemas.microsoft.com/office/drawing/2014/main" id="{9B1F2405-993F-9D3F-8FC7-6FD62F50D590}"/>
                </a:ext>
              </a:extLst>
            </xdr:cNvPr>
            <xdr:cNvPicPr/>
          </xdr:nvPicPr>
          <xdr:blipFill>
            <a:blip xmlns:r="http://schemas.openxmlformats.org/officeDocument/2006/relationships" r:embed="rId25"/>
            <a:stretch>
              <a:fillRect/>
            </a:stretch>
          </xdr:blipFill>
          <xdr:spPr>
            <a:xfrm>
              <a:off x="6727877" y="4975200"/>
              <a:ext cx="12517259" cy="1589400"/>
            </a:xfrm>
            <a:prstGeom prst="rect">
              <a:avLst/>
            </a:prstGeom>
          </xdr:spPr>
        </xdr:pic>
      </mc:Fallback>
    </mc:AlternateContent>
    <xdr:clientData/>
  </xdr:twoCellAnchor>
  <xdr:twoCellAnchor editAs="oneCell">
    <xdr:from>
      <xdr:col>37</xdr:col>
      <xdr:colOff>1062441</xdr:colOff>
      <xdr:row>23</xdr:row>
      <xdr:rowOff>94907</xdr:rowOff>
    </xdr:from>
    <xdr:to>
      <xdr:col>37</xdr:col>
      <xdr:colOff>1211121</xdr:colOff>
      <xdr:row>25</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33998</xdr:colOff>
      <xdr:row>38</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1676399</xdr:colOff>
      <xdr:row>17</xdr:row>
      <xdr:rowOff>203200</xdr:rowOff>
    </xdr:from>
    <xdr:to>
      <xdr:col>37</xdr:col>
      <xdr:colOff>966320</xdr:colOff>
      <xdr:row>32</xdr:row>
      <xdr:rowOff>299550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8" name="Ink 27">
              <a:extLst>
                <a:ext uri="{FF2B5EF4-FFF2-40B4-BE49-F238E27FC236}">
                  <a16:creationId xmlns:a16="http://schemas.microsoft.com/office/drawing/2014/main" id="{6FB9D423-0CF1-A730-9263-DE3A0EF51E8A}"/>
                </a:ext>
              </a:extLst>
            </xdr14:cNvPr>
            <xdr14:cNvContentPartPr/>
          </xdr14:nvContentPartPr>
          <xdr14:nvPr macro=""/>
          <xdr14:xfrm>
            <a:off x="7645399" y="5740400"/>
            <a:ext cx="14377521" cy="4312750"/>
          </xdr14:xfrm>
        </xdr:contentPart>
      </mc:Choice>
      <mc:Fallback xmlns="">
        <xdr:pic>
          <xdr:nvPicPr>
            <xdr:cNvPr id="28" name="Ink 27">
              <a:extLst>
                <a:ext uri="{FF2B5EF4-FFF2-40B4-BE49-F238E27FC236}">
                  <a16:creationId xmlns:a16="http://schemas.microsoft.com/office/drawing/2014/main" id="{6FB9D423-0CF1-A730-9263-DE3A0EF51E8A}"/>
                </a:ext>
              </a:extLst>
            </xdr:cNvPr>
            <xdr:cNvPicPr/>
          </xdr:nvPicPr>
          <xdr:blipFill>
            <a:blip xmlns:r="http://schemas.openxmlformats.org/officeDocument/2006/relationships" r:embed="rId33"/>
            <a:stretch>
              <a:fillRect/>
            </a:stretch>
          </xdr:blipFill>
          <xdr:spPr>
            <a:xfrm>
              <a:off x="6732197" y="5579803"/>
              <a:ext cx="12499259" cy="4044960"/>
            </a:xfrm>
            <a:prstGeom prst="rect">
              <a:avLst/>
            </a:prstGeom>
          </xdr:spPr>
        </xdr:pic>
      </mc:Fallback>
    </mc:AlternateContent>
    <xdr:clientData/>
  </xdr:twoCellAnchor>
  <xdr:twoCellAnchor editAs="oneCell">
    <xdr:from>
      <xdr:col>5</xdr:col>
      <xdr:colOff>334637</xdr:colOff>
      <xdr:row>38</xdr:row>
      <xdr:rowOff>132591</xdr:rowOff>
    </xdr:from>
    <xdr:to>
      <xdr:col>38</xdr:col>
      <xdr:colOff>122558</xdr:colOff>
      <xdr:row>40</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editAs="oneCell">
    <xdr:from>
      <xdr:col>5</xdr:col>
      <xdr:colOff>866775</xdr:colOff>
      <xdr:row>17</xdr:row>
      <xdr:rowOff>177800</xdr:rowOff>
    </xdr:from>
    <xdr:to>
      <xdr:col>38</xdr:col>
      <xdr:colOff>88900</xdr:colOff>
      <xdr:row>22</xdr:row>
      <xdr:rowOff>194491</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0" name="Ink 29">
              <a:extLst>
                <a:ext uri="{FF2B5EF4-FFF2-40B4-BE49-F238E27FC236}">
                  <a16:creationId xmlns:a16="http://schemas.microsoft.com/office/drawing/2014/main" id="{1670E5B8-889E-4976-8986-85531081DE71}"/>
                </a:ext>
              </a:extLst>
            </xdr14:cNvPr>
            <xdr14:cNvContentPartPr/>
          </xdr14:nvContentPartPr>
          <xdr14:nvPr macro=""/>
          <xdr14:xfrm>
            <a:off x="6835775" y="5715000"/>
            <a:ext cx="15706725" cy="168039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xdr:from>
      <xdr:col>5</xdr:col>
      <xdr:colOff>685800</xdr:colOff>
      <xdr:row>12</xdr:row>
      <xdr:rowOff>152400</xdr:rowOff>
    </xdr:from>
    <xdr:to>
      <xdr:col>5</xdr:col>
      <xdr:colOff>1384300</xdr:colOff>
      <xdr:row>14</xdr:row>
      <xdr:rowOff>38100</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6654800" y="42545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787400</xdr:colOff>
      <xdr:row>18</xdr:row>
      <xdr:rowOff>76200</xdr:rowOff>
    </xdr:from>
    <xdr:to>
      <xdr:col>5</xdr:col>
      <xdr:colOff>1485900</xdr:colOff>
      <xdr:row>18</xdr:row>
      <xdr:rowOff>317500</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6756400" y="5626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editAs="oneCell">
    <xdr:from>
      <xdr:col>25</xdr:col>
      <xdr:colOff>292417</xdr:colOff>
      <xdr:row>18</xdr:row>
      <xdr:rowOff>45411</xdr:rowOff>
    </xdr:from>
    <xdr:to>
      <xdr:col>38</xdr:col>
      <xdr:colOff>449389</xdr:colOff>
      <xdr:row>22</xdr:row>
      <xdr:rowOff>223383</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623AE7C-9860-4A4F-E8A8-62EF2F5F981C}"/>
                </a:ext>
              </a:extLst>
            </xdr14:cNvPr>
            <xdr14:cNvContentPartPr/>
          </xdr14:nvContentPartPr>
          <xdr14:nvPr macro=""/>
          <xdr14:xfrm rot="245170">
            <a:off x="15777346" y="5583518"/>
            <a:ext cx="7055793" cy="147065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5 0 22269,'493'8789'0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354 500 24575,'320'0'0,"-909"0"0,588 0 0,-8 0 0,-1 0 0,1-1 0,0 0 0,-17-4 0,25 5 0,0 0 0,0-1 0,0 1 0,0 0 0,0-1 0,0 1 0,0-1 0,0 1 0,0-1 0,0 0 0,1 1 0,-1-1 0,0 1 0,0-1 0,0 1 0,1-1 0,-1 0 0,0 0 0,1 0 0,-1 0 0,1 0 0,-1 0 0,1 0 0,0 0 0,-1 0 0,1 0 0,0 0 0,0 1 0,-1-1 0,1-1 0,0 1 0,0 0 0,0 0 0,1 0 0,-1 0 0,0 0 0,0 0 0,0 0 0,1 0 0,-1 1 0,1-1 0,-1 0 0,1 0 0,-1 0 0,1 0 0,-1 0 0,1 0 0,0 0 0,0 0 0,-1 1 0,2-2 0,275-374 0,-224 301 0,-67 107 0,-23 41 0,-4 5 0,20-30 0,-45 105 0,58-129 0,1-1 0,1 1 0,1 0 0,-3 37 0,8-58 0,-1 0 0,1-1 0,0 0 0,0 0 0,0 1 0,1 0 0,-1-1 0,1 1 0,-1-2 0,1 2 0,0-1 0,0 1 0,0-1 0,0 0 0,0 0 0,1 0 0,-1 0 0,1 0 0,-1 1 0,1-2 0,0 0 0,0 1 0,0 0 0,0 0 0,0-1 0,0 1 0,0-1 0,1 0 0,-1 0 0,1-1 0,-1 1 0,0 0 0,1 0 0,0 0 0,-1-1 0,1 1 0,-1-1 0,4 0 0,11 0 0,0-1 0,0 0 0,0-2 0,-1 1 0,18-6 0,2 1 0,92-7-1365,-94 12-5461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23170 1 24575,'-7'43'0,"-20"1"0,-7-1 0,-147 76 0,-371 123 0,486-213 0,-1751 592 0,263-100 0,-2037 998 0,2770-1131 0,-611 338 0,-1233 662 0,2397-1281 0,-35-2 0,-478 119 0,-194 66 0,855-242 0,19 1 0,-75 62 0,-72 36 0,-902 353 0,975-427 0,-229 155 0,0 2 0,156-130 0,-674 297 0,149-79 0,141-67 0,430-154 0,67-32 0,-248 82 0,369-144 0,7 2 0,-13-1 0,7 0 0,-1-1 0,-6 1 0,0 0 0,0 0 0,0-1 0,0 0 0,-7 1 0,0-1 0,7 0 0,-41 2 0,48-4 0,-1-1 0,1 1 0,-1-1 0,1 0 0,-1 1 0,-6-1 0,6 0 0,1 0 0,-1 0 0,1-1 0,-1 1 0,1 0 0,1-1 0,-2 0 0,1 1 0,-1-1 0,1 0 0,-1 0 0,1 0 0,-1 1 0,7-1 0,-6 0 0,-1-1 0,8 1 0,-8-1 0,7 1 0,-6-1 0,6 0 0,0 1 0,1-1 0,-15-2 0,-39-9 0,12-1 0,2 1 0,-1 0 0,13-1 0,-6 0 0,13 0 0,-27-22 0,20 15 0,-6 2 0,-108-39 0,94 40 0,41 13 0,-7-1 0,6 0 0,-6 1 0,0-1 0,-1 0 0,-6 2 0,7-1 0,-6-1 0,-8 2 0,7-1 0,-6 1 0,6 0 0,-68-6 0,89 9 0,-8 1 0,7 0 0,1 0 0,-1 0 0,0 0 0,0 0 0,1 0 0,-8 0 0,7 0 0,1 0 0,-1 1 0,0-1 0,0 0 0,2 1 0,-2-1 0,0 1 0,0-1 0,1 1 0,-1 0 0,0-1 0,0 1 0,1 0 0,-1 0 0,7 0 0,-7-1 0,0 1 0,1 0 0,6-1 0,-7 1 0,7 0 0,-7 0 0,7 0 0,-7 0 0,7 1 0,0-1 0,-6 0 0,6 0 0,0 0 0,0 0 0,0 3 0,-54 47 0,54-49 0,-7 7 0,7-1 0,0 1 0,0-1 0,7 0 0,-1 1 0,8-1 0,-1 0 0,1 0 0,6 1 0,0-3 0,7 3 0,0-2 0,-1 1 0,55 9 0,-47-11 0,0 0 0,6-1 0,1 0 0,-1 0 0,1 0 0,5-1 0,1-1 0,0 1 0,1 0 0,-1 0 0,7-2 0,-7 0 0,6 1 0,1-1 0,0-1 0,81 2 0,-22-2-76,-5 0 1,7-2-1,-1 0 0,-6-1 0,6-1 0,-7 0 0,1 0 0,0-2 1,-1 0-1,-6-1 0,7 0 0,-13-2 0,5 1 0,-6-2 1,1 1-1,-9-1 0,103-13 0,-40 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554 1 24575,'1'470'0,"-2"510"0,-7-401-1,-7-5 9,-1 20-132,-21 789-463,9-475 587,2-250 150,-6-6 150,-11 241-46,15-352-254,8-154 0,-30 542 0,47-875 0,-1 0 0,-1-4 0,0 2 0,-12 91 0,-28 164 0,41-282 0,0 1 0,0-3 0,-1 0 0,0-2 0,0-1 0,0-1 0,0-1 0,0-2 0,-6 12 0,4-19 0,0-1 0,0-3 0,0-2 0,0 0 0,1-3 0,-9-7 0,-2 4 0,11 0 0,0 2 0,1 1 0,-5 4 0,9-4 0,0 1 0,0 0 0,0 0 0,0 0 0,0 0 0,0 1 0,0-1 0,0 2 0,1 0 0,-1-1 0,0 1 0,0 0 0,1 0 0,-1 0 0,0 2 0,0-2 0,0 9 0,0-9 0,1 1 0,0 0 0,0-1 0,0 0 0,-1 1 0,1-1 0,0 2 0,0-2 0,0 1 0,0 0 0,0 0 0,0-1 0,0 2 0,0-2 0,1 0 0,-1 2 0,0-2 0,0 0 0,0 2 0,0-2 0,1 0 0,-1 0 0,1 0 0,-1 0 0,1 4 0,0 5 0,1-2 0,0 0 0,-1 1 0,1-1 0,2 10 0,-2-12 0,8 30 0,-9-36 0,0 0 0,-1-1 0,1 1 0,0-1 0,-1 0 0,1 1 0,0-1 0,-1-1 0,1 1 0,0-1 0,0 0 0,-1 0 0,2 0 0,-2-1 0,1 0 0,-1 1 0,0-2 0,0 1 0,1 0 0,-1 0 0,0 0 0,0 0 0,0 0 0,0 0 0,1 0 0,-1 0 0,0-1 0,0 1 0,0-1 0,0 1 0,1 0 0,-1-1 0,0 1 0,0 0 0,0-2 0,0 3 0,0-2 0,0 1 0,0-1 0,0 1 0,0-1 0,0 0 0,0 0 0,0 1 0,0-3 0,-2-56 0,2 57 0,-7-104 0,6 86 0,-1 0 0,1 0 0,-1-3 0,2 3 0,-1-2 0,0 0 0,0 0 0,1-31 0,0 50 7,0-2-1,0 1 0,0-1 0,1 2 1,-1-2-1,0 2 0,1-1 1,-1 0-1,1 1 0,-1-1 1,0 1-1,1-1 0,0 2 0,-1-1 1,1-1-1,-1 2 0,1 0 1,1-6-1,1 0-303,-1 0 0,0 2 0,1-1 0,4-7 0,0 1-6529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36 1 24575,'-4'5'0,"1"-1"0,-2 2 0,2-1 0,2 0 0,-2 1 0,0-1 0,1 0 0,1 1 0,-1 0 0,1-1 0,1 1 0,-2 1 0,2-2 0,0 10 0,-1 4 0,-2 21 0,1-1 0,4 1 0,-1-1 0,4 1 0,1-1 0,1 1 0,4-3 0,-1 2 0,5-2 0,0 0 0,0-1 0,38 56 0,-14-33 0,3 0 0,3-3 0,2 0 0,2-3 0,4-3 0,3-1 0,-1-2 0,5-4 0,88 52 0,-25-28 0,3-4 0,268 92 0,297 28 0,82-55-361,9-43-60,-244-29 515,1822 269-94,-739-89-223,-187-6-964,-209-28 1177,-937-163-248,282 47 15,-445-61 556,-2 6 1,185 69-1,690 289 1356,-87-9-1669,-661-237 0,-86-44 0,487 248 0,-525-284 0,-67-36 0,-2 3 0,78 54 0,98 60 0,-159-103 0,126 94 0,-185-120 0,0 0 0,-2 1 0,25 31 0,-23-26 0,31 33 0,190 170 0,-215-203 0,-1 1 0,0 2 0,-2-1 0,-2 1 0,1 1 0,13 34 0,-11-20 0,1-1 0,43 58 0,44 77 0,-86-138 0,-14-18 0,1-1 0,-1 1 0,4 18 0,-7-21 0,1 1 0,1-1 0,-2-1 0,4 1 0,11 20 0,22 25 0,-3 1 0,41 93 0,-64-114 0,17 62 0,-8-24 0,-12-34 0,-3-1 0,6 70 0,-4-33 0,7 111 0,-14 281 0,-7-248 0,3 386 0,-1-580 0,-2 3 0,-11 41 0,8-46 0,1 1 0,1 0 0,1 29 0,3-55 0,0 0 0,0 1 0,0-1 0,0 1 0,1-1 0,-1 1 0,0-1 0,2 0 0,-2-1 0,1 1 0,-1 1 0,3-1 0,-3 0 0,2 0 0,-1 0 0,1 0 0,0 0 0,2 2 0,-2-3 0,-1-1 0,1 1 0,-1-1 0,1 1 0,-1-1 0,1 1 0,-1-1 0,1 0 0,1 0 0,-3 0 0,3 0 0,-2 0 0,1 0 0,-1 0 0,1-1 0,-1 1 0,1-1 0,-1 1 0,1-1 0,-1 1 0,1-1 0,-1 0 0,1 0 0,-1 0 0,1 0 0,-1 0 0,-1 0 0,3 0 0,-1-1 0,20-18 0,-1-3 0,0 1 0,-1-1 0,-2-2 0,18-31 0,9-11 0,-30 46 0,3-6 0,2 2 0,37-39 0,-57 65 0,0 0 0,0-1 0,0 1 0,0-1 0,0 0 0,0 0 0,0 1 0,0-1 0,0 1 0,0-1 0,0 1 0,0-1 0,0 1 0,0-1 0,0 1 0,1-1 0,-1 1 0,0-1 0,0 1 0,0-1 0,0 1 0,0-1 0,0 0 0,2 0 0,-2 0 0,1 1 0,-1-1 0,0 1 0,0-1 0,0 0 0,2 0 0,-2 1 0,1-1 0,-1 0 0,0 0 0,0 1 0,2-1 0,-2 0 0,1 0 0,-1 0 0,0 0 0,0 0 0,2 0 0,-2 0 0,1 0 0,-1 0 0,0 0 0,2 0 0,-2 0 0,1 0 0,-1-1 0,0 1 0,0 0 0,2 0 0,-2 0 0,1-1 0,-1 1 0,0 0 0,0-1 0,0 1 0,2 0 0,-2-1 0,0 1 0,1 0 0,-1 0 0,0 0 0,0-1 0,0 1 0,0-1 0,-3 40 0,-6-18 0,-1-2 0,-1 1 0,-1-1 0,-1-1 0,1 0 0,-3-1 0,0 0 0,-2 0 0,-21 16 0,8-9 0,0-3 0,-1 1 0,-1-2 0,-69 29 0,88-43 0,1-1 0,-2 0 0,1-1 0,-2 0 0,1-2 0,-1 0 0,2 0 0,-20 0 0,25-2 0,1-1 0,-1 0 0,1 0 0,-1-1 0,1 1 0,-1-1 0,2 0 0,-1-1 0,-1 0 0,2 0 0,0-1 0,0 1 0,0-1 0,-2 0 0,2-1 0,2 1 0,-10-10 0,-28-37 0,3-1 0,-42-74 0,24 34 0,27 48-1365,4 7-5461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22269,'9319'9094'0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3:47.887"/>
    </inkml:context>
    <inkml:brush xml:id="br0">
      <inkml:brushProperty name="width" value="0.025" units="cm"/>
      <inkml:brushProperty name="height" value="0.025" units="cm"/>
    </inkml:brush>
  </inkml:definitions>
  <inkml:trace contextRef="#ctx0" brushRef="#br0">49062 0 24475,'-49062'2315'0,"49323"-2226"0,-522-178 0,506-23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10368 0 24575,'-4'0'0,"2"1"0,0-1 0,0 0 0,-1 1 0,1 0 0,-1-1 0,0 1 0,1 0 0,0 0 0,-1 0 0,2 0 0,-6 3 0,-11 4 0,-95 36 0,-161 39 0,-125 14 0,352-87 0,-635 118 0,501-106 0,-333 5 0,-1638-34 0,1884 7 0,-312-1 0,203-33 0,147 9 0,-105-11 0,156 13 0,-185-2 0,270 25 0,59 1 0,0-1 0,0-1 0,0-1 0,0-1 0,-1-2 0,-63-16 0,50 8 0,-94-15 0,4 2 0,-29-8 0,-75-21 0,214 49 0,1-1 0,-1 3 0,-1-1 0,-50 0 0,-128 6 0,85 3 0,-1258-4 0,1368 0 0,2 0 0,-1 1 0,1 0 0,-1 0 0,2 1 0,-2 1 0,1-1 0,-1 1 0,2 1 0,-2 0 0,2-1 0,-19 12 0,23-10 0,-2 0 0,1 1 0,0 1 0,0-1 0,0 0 0,1 1 0,1 0 0,0 1 0,0-2 0,1 2 0,-1 0 0,2 1 0,-1-3 0,-3 18 0,6-17 0,0-2 0,0 1 0,0 1 0,1-2 0,0 2 0,0-2 0,1 1 0,-1 0 0,1 0 0,1 0 0,4 10 0,0-5 0,0-2 0,1-1 0,-1 2 0,2-1 0,14 12 0,-22-21 0,0 1 0,1-1 0,-1 0 0,0 0 0,2 1 0,-2-1 0,0 0 0,0 1 0,0-1 0,1 0 0,-1 0 0,0 1 0,0-1 0,0 0 0,0 1 0,0-1 0,0 1 0,1-1 0,-1 0 0,0 1 0,0-1 0,0 0 0,0 1 0,0-1 0,0 0 0,-1 1 0,1-1 0,0 0 0,0 0 0,0 0 0,0 1 0,0-1 0,0 0 0,-1 0 0,1 1 0,0 0 0,-19 3 0,-31-3 0,43-1 0,-39 0 0,24 1 0,-1-1 0,0-1 0,0-1 0,1 0 0,-28-6 0,45 7 0,0-1 0,0 0 0,0 0 0,0 0 0,0 0 0,0-1 0,1 0 0,-1 1 0,2-1 0,-2 1 0,2-1 0,-2-1 0,2 1 0,-1-1 0,2 0 0,-1 0 0,0 0 0,0 1 0,1-1 0,0 0 0,0-1 0,0 1 0,1-1 0,0 1 0,-1 0 0,1-10 0,-1-25 0,3-1 0,7-47 0,-3 273 0,-4-181 0,0 1 0,0-1 0,1 1 0,1-2 0,-1 1 0,0 0 0,2 0 0,-2 0 0,2 0 0,-1-1 0,2 0 0,-2 0 0,2 1 0,-1-1 0,1 0 0,1 0 0,-2-2 0,2 2 0,0-2 0,-2 1 0,2 0 0,8 2 0,13 5 0,2-1 0,0-1 0,44 7 0,-71-14 0,81 7 0,-68-7 0,1 0 0,0 1 0,-1 1 0,1 0 0,26 7 0,-42-10 0,0 0 0,0 0 0,2 0 0,-2 0 0,0 0 0,0 0 0,1 0 0,-1 0 0,0 0 0,0 0 0,0 0 0,1 1 0,-1-1 0,0 0 0,0 0 0,0 0 0,1 0 0,-1 0 0,0 0 0,0 1 0,0-1 0,0 0 0,1 0 0,-1 0 0,0 0 0,0 1 0,0-1 0,0 0 0,0 0 0,0 0 0,0 1 0,1-1 0,-1 0 0,0 0 0,0 0 0,0 1 0,0-1 0,0 0 0,0 0 0,0 1 0,0-1 0,0 0 0,0 0 0,0 0 0,0 1 0,-1-1 0,1 0 0,0 0 0,0 1 0,0-1 0,0 0 0,0 0 0,0 1 0,-19 4 0,-26-1 0,25-3 0,0 0 0,0-2 0,1 0 0,-1 1 0,2-3 0,-2 0 0,-29-8 0,43 9 0,1 0 0,-1-1 0,0 1 0,2 0 0,-2-1 0,1 0 0,1 0 0,-1 0 0,0-1 0,1 0 0,-1 0 0,2 1 0,-1-1 0,1 0 0,0-1 0,0 1 0,0-1 0,0 2 0,1-2 0,0-1 0,1 1 0,-2 0 0,2 1 0,0 0 0,1-2 0,0 1 0,-1-1 0,2-5 0,3-16 0,0 1 0,2 1 0,2-1 0,16-36 0,-10 27 0,12-53 0,-25 83 0,4-22 0,-3 20 0,0 12 0,-5 159 0,4 62 0,0-223 0,0 1 0,-1 0 0,2 0 0,-1-1 0,1 1 0,-1 0 0,2-1 0,-1 0 0,0 1 0,0-1 0,1 1 0,0-2 0,-1 1 0,2 0 0,-1 0 0,4 3 0,1-2 0,0 1 0,0-1 0,1 1 0,-2-1 0,3-1 0,14 6 0,46 4 0,-46-11 0,-69-9 0,0-1 0,1-1 0,0-3 0,-58-21 0,97 32 0,1-1 0,0 0 0,0 1 0,0-1 0,1 1 0,-1-1 0,1-1 0,-1 1 0,1-1 0,0 0 0,-1 2 0,2-2 0,-1 0 0,0-1 0,2 1 0,-2 0 0,2 0 0,-3-5 0,3 3 0,-1-1 0,2 1 0,0 0 0,0-1 0,2 2 0,-2-2 0,1 1 0,0-1 0,1 1 0,-1 1 0,2-1 0,1-6 0,15-27 0,-3-1 0,-2 0 0,-3-2 0,-1 1 0,4-57 0,-16 445 0,3-340 0,0 0 0,0 0 0,1-1 0,1 1 0,-1-1 0,8 14 0,-10-20 0,2 0 0,-1 1 0,-1-1 0,1-1 0,0 1 0,0 0 0,0 0 0,-1 0 0,1 0 0,1-1 0,-1 1 0,0 0 0,0 0 0,1-1 0,-1 1 0,1 0 0,-1-1 0,0 1 0,1-1 0,0 1 0,1-1 0,-1-1 0,-1 1 0,2 0 0,-1-1 0,-1 1 0,1-1 0,1 0 0,-2 1 0,1-1 0,-1 0 0,1 0 0,0 0 0,-1 0 0,1 0 0,-1 0 0,0 0 0,0 0 0,2 0 0,-1-3 0,99-107 0,14-12 0,-85 95-1365,-4 2-5461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5:48.905"/>
    </inkml:context>
    <inkml:brush xml:id="br0">
      <inkml:brushProperty name="width" value="0.025" units="cm"/>
      <inkml:brushProperty name="height" value="0.025" units="cm"/>
    </inkml:brush>
  </inkml:definitions>
  <inkml:trace contextRef="#ctx0" brushRef="#br0">20261 0 24396,'-20260'4474'0,"20533"-4427"0,-546-94 0,481-104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2.974"/>
    </inkml:context>
    <inkml:brush xml:id="br0">
      <inkml:brushProperty name="width" value="0.025" units="cm"/>
      <inkml:brushProperty name="height" value="0.025" units="cm"/>
    </inkml:brush>
  </inkml:definitions>
  <inkml:trace contextRef="#ctx0" brushRef="#br0">27904 753 24575,'-3'36'0,"0"-1"0,-3 1 0,-24 65 0,-60 100 0,53-125 0,-42 100 0,-65 129 0,89-206 0,-73 99 0,27-74 0,-9-5 0,-167 144 0,192-190 0,-4-3 0,-4-3 0,-4-3 0,-4-3 0,-153 72 0,58-45 0,-4-5 0,-380 114 0,-62-42 0,438-108 0,-361 71 0,389-83 0,-210 36 0,-255 57 0,281-54 0,30-7 0,53-11 0,110-24 0,-459 81 0,-53 12 0,-693 156 0,993-190 0,-53 9 0,-144 14 0,520-101 0,0 2 0,-63 24 0,-21 5 0,6-10 0,0-4 0,-235 28 0,-285-6 0,617-50 0,-1-2 0,1 0 0,0-2 0,-1-1 0,1-1 0,1-1 0,0-1 0,0-2 0,0-1 0,1 0 0,1-2 0,0-1 0,2 0 0,0-3 0,-35-18 0,13 2 0,-4 2 0,-1 3 0,-1 1 0,-111-34 0,-13 13 0,-317-49 0,401 77 0,-984-126-3,680 97-118,-1396-225-464,1680 253 550,-229-48 407,-392-114 0,44 7-372,335 87 0,-274-51 0,40 10 0,-783-245 0,1277 341 0,-23-5 0,3-4 0,-137-62 0,177 59 0,3-4 0,5 0 0,-91-76 0,55 41 0,-25-17 0,-9-1 0,10-6 0,-123-118 0,186 152 0,-7 3 0,-176-121 0,59 53 0,83 57 0,-176-98 0,199 137 0,-163-59 0,-20-8 0,196 78 0,1 3 0,-150-39 0,96 31 0,-76-29 0,85 26 0,-157-36 0,251 68 0,-1 0 0,2 0 0,0-2 0,1 0 0,0-1 0,1-1 0,-26-15 0,-9-12 0,-65-51 0,107 77 0,-19-13 0,-74-38 0,26 17 0,44 24 0,30 18 0,0-1 0,1 0 0,-1 0 0,1 0 0,0-1 0,0 0 0,1 0 0,-11-13 0,3-3 0,1-1 0,-10-24 0,-14-25 0,33 67 0,-1-2 0,0 1 0,0 0 0,0 0 0,-1 1 0,-1 0 0,1 0 0,0 0 0,-1 1 0,-1-1 0,1 1 0,-16-5 0,-5-1 0,1 1 0,-55-10 0,79 18 0,2 0 0,0 1 0,-1-1 0,0 1 0,0-1 0,0 1 0,0 0 0,1 0 0,-2 0 0,2 0 0,-2 0 0,2 0 0,-1 1 0,0-1 0,0 1 0,1-1 0,-2 1 0,2 0 0,-1 0 0,1 0 0,0 0 0,-1 0 0,1 0 0,-1 1 0,1-1 0,0 0 0,-1 1 0,2 0 0,-1-1 0,0 0 0,0 1 0,1-1 0,0 1 0,-1 0 0,1 0 0,0 0 0,0 0 0,0 0 0,1 0 0,-2 0 0,1 3 0,-1 10 0,-1 1 0,2-1 0,0 0 0,5 26 0,-3-20 0,4 14 0,1 1 0,3 1 0,2-1 0,24 47 0,-21-63 0,-14-20 0,2 0 0,-2 0 0,1-1 0,-1 1 0,0 0 0,1 0 0,-1 0 0,0 0 0,0-1 0,1 1 0,-1 0 0,0 0 0,0-1 0,1 1 0,-1 0 0,0 0 0,0-1 0,2 1 0,-2 0 0,0-1 0,0 1 0,0 0 0,0-1 0,0 1 0,0 0 0,0 0 0,0 0 0,0 0 0,0-1 0,0 1 0,0 0 0,0-1 0,0 1 0,-2-46 0,-10-5 0,3 18 0,0 1 0,5-1 0,-1 0 0,4 0 0,4-43 0,-2 72 0,1 0 0,-1 0 0,0 0 0,1 1 0,0-1 0,0 0 0,0 0 0,2 1 0,-2-1 0,2 1 0,-2-1 0,2 1 0,0 1 0,0-1 0,0 0 0,8-4 0,-4 3 0,1 0 0,-1 0 0,2 1 0,0 1 0,-2 0 0,2 0 0,-1 0 0,19-2 0,-5 2 0,-1 1 0,0 0 0,1 2 0,0 0 0,-1 1 0,1 0 0,38 9 0,-48-9 20,-1 2 0,0-1 0,0 2 0,0-1 0,13 6 0,-21-8-98,0 0 0,-1 1 0,0-1-1,0 0 1,0 1 0,0-1 0,0 1 0,-1 0 0,1 0-1,-1 0 1,0-1 0,0 1 0,0 0 0,-1 0 0,0 0-1,1 0 1,-1 1 0,0 4 0,-1 16-6748</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46.033"/>
    </inkml:context>
    <inkml:brush xml:id="br0">
      <inkml:brushProperty name="width" value="0.025" units="cm"/>
      <inkml:brushProperty name="height" value="0.025" units="cm"/>
    </inkml:brush>
  </inkml:definitions>
  <inkml:trace contextRef="#ctx0" brushRef="#br0">43357 5469 24575,'-81'-155'0,"-125"-184"0,152 263 0,-2 4 0,-4 3 0,-2 1 0,-93-74 0,-18 7 0,-7 11 0,-4 5 0,-288-136 0,-637-214 0,-652-82 0,922 378-706,-5 38-256,143 26 192,-615-117-1197,-622-102 1801,-3 45-36,1570 235 31,-1019-136-548,12-61 342,279 22 794,-247-57 693,181 36 3299,1031 215-4357,-250-19 0,-222-21-52,-60 13 0,-3 52 0,-216-7 0,130-48 0,453 19 0,-106-10 0,-697 12 0,981 36 0,-2070-8 0,1275 12 0,-3637-2 0,4236 25 0,151-9 0,-260 52 0,184-23 0,186-34 0,1 2 0,2 3 0,-64 27 0,-152 83 0,183-84 0,-17 6 0,-203 60 0,-122 0 0,350-89 0,-107 25 0,-1-9 0,-3-8 0,-313 6 0,-2751-42 0,2665 39 0,497-17 0,0 2 0,1 7 0,3 2 0,-114 46 0,-327 187 0,20 32 0,430-242 0,1 0 0,0 5 0,4 4 0,-112 103 0,163-130 0,2 0 0,0 4 0,2-1 0,3-1 0,0 4 0,-24 64 0,18-44 0,8-16 0,2-5 0,-3-2 0,-30 51 0,-203 305 0,235-359 0,-1-2 0,3 3 0,2-1 0,0 2 0,-7 35 0,-7 94 0,22-131 0,0 0 0,-1 1 0,-2-2 0,-1 2 0,-2-4 0,0 2 0,-2-1 0,-15 28 0,-10 14 0,35-65 0,-1 0 0,1-1 0,0 1 0,0 0 0,0 0 0,1 0 0,-1-1 0,1 1 0,0 1 0,0-2 0,1 1 0,-1 0 0,1-1 0,-1 2 0,1-1 0,3 5 0,-3-8 0,0 0 0,0 0 0,0 0 0,1 1 0,-2-1 0,1 0 0,1 0 0,-1 1 0,0-2 0,1 1 0,-1 0 0,0-1 0,1 1 0,-1-1 0,1 1 0,-1-1 0,1 0 0,-1 0 0,0 0 0,2 0 0,-2 0 0,0 0 0,2 0 0,-2 0 0,0 0 0,1 0 0,-1 0 0,1 0 0,-1 0 0,1-1 0,-1 1 0,0-1 0,1 1 0,0-1 0,-1 0 0,0 1 0,0-2 0,1 1 0,0-1 0,53-41 0,-55 43 0,122-106 0,-122 106 0,1 0 0,-1-1 0,2 1 0,-2 0 0,1-1 0,-1 1 0,1-1 0,-1 1 0,1-2 0,-1 2 0,0-1 0,1 1 0,-1-1 0,0 1 0,0-1 0,1 0 0,-1 1 0,0-2 0,0 2 0,0-1 0,0 0 0,0 1 0,0-1 0,0 1 0,0-1 0,0-1 0,0 2 0,0 0 0,0 0 0,0-1 0,0 0 0,-21-9 0,-34 8 0,35 5 51,0 2-1,1 0 1,1 0-1,-28 13 1,24-9-64,0-1 1,-1-1-1,-39 7 1,56-13-63,0-1 0,1 1 1,-1-1-1,2 0 0,-2-1 1,0 1-1,1-1 0,-1 1 1,2-1-1,-2-1 0,1 0 1,0 0-1,0-1 1,0 1-1,0-1 0,0 1 1,1-1-1,0 0 0,0-1 1,-8-7-1,-7-12-6751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1422 2 24575,'-56'-1'0,"5"1"0,2 0 0,-2 2 0,-65 8 0,102-8 0,-1 0 0,1 1 0,0 0 0,0 1 0,2-1 0,-2 1 0,2 1 0,0 0 0,0 0 0,-1 1 0,3 0 0,-1 1 0,0-1 0,0 1 0,2 0 0,-8 8 0,-10 14 0,2 0 0,2 0 0,2 2 0,-19 42 0,-45 136 0,69-163 0,-15 41 0,5 2 0,7 1 0,-2 135 0,26-73 0,-9 212 0,3-356 0,-2-1 0,1 1 0,-1 0 0,-1 0 0,-1 0 0,0-1 0,1 0 0,-2 0 0,0 0 0,-1-1 0,0 1 0,-1-1 0,0 1 0,1-1 0,-2-1 0,-1 1 0,1-2 0,-2 1 0,2 0 0,-1-1 0,-23 7 0,9-3 0,-1-1 0,-1-1 0,0 0 0,0-3 0,0 1 0,0 0 0,-2-2 0,2 0 0,-34-1 0,56-1 0,-1 0 0,1 0 0,-1-1 0,0 1 0,1-1 0,-1 1 0,1-1 0,-1 0 0,0 0 0,2 0 0,-1-1 0,-1 1 0,2-1 0,-8-2 0,10 3 0,-1 0 0,-1 0 0,2 0 0,-1-1 0,1 1 0,1-1 0,-2 1 0,1-1 0,-1 0 0,2 1 0,-1-1 0,1 0 0,-2 1 0,2-1 0,0 0 0,0 0 0,0 1 0,0-5 0,2 2 0,-2 0 0,3 0 0,-2 0 0,1 0 0,1 1 0,0-1 0,0 0 0,0 0 0,0 1 0,0-1 0,2 1 0,-1 0 0,1 0 0,-1 0 0,1 0 0,0 0 0,-1 0 0,2 1 0,7-3 0,0 1 0,1 0 0,0 0 0,0 0 0,1 1 0,-1 0 0,1 1 0,1 0 0,-1 1 0,0-1 0,1 2 0,-1 0 0,28 2 0,-32-2 0,-2 2 0,2-1 0,-2 1 0,2 0 0,-2 0 0,0 1 0,0 0 0,0 0 0,1 0 0,-3 0 0,2 1 0,-1 0 0,0 0 0,-1 0 0,1 1 0,-2 0 0,2 0 0,-2 1 0,-1-1 0,8 8 0,1 6 0,-2 1 0,-1-1 0,-2 1 0,1 0 0,-3 0 0,4 29 0,-2 128 0,-3-16 0,-3-137 0,2-2 0,3 2 0,-1-2 0,24 41 0,-14-37-112,-3-1 174,3 1-1,1-2 0,23 24 1,-36-43-130,0-1 0,-1 1-1,1-1 1,1 0 0,-1 0 0,1 0 0,0 0 0,0 0 0,2-2 0,-2 1-1,1 0 1,1 0 0,-2 0 0,2-1 0,0 0 0,1 0 0,-2 0 0,1-1-1,0 0 1,1 0 0,11 1 0,15-5-6758</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2.384"/>
    </inkml:context>
    <inkml:brush xml:id="br0">
      <inkml:brushProperty name="width" value="0.025" units="cm"/>
      <inkml:brushProperty name="height" value="0.025" units="cm"/>
    </inkml:brush>
  </inkml:definitions>
  <inkml:trace contextRef="#ctx0" brushRef="#br0">40291 5211 24575,'-14'2'0,"-2"2"0,1 0 0,0 0 0,1 1 0,0 1 0,-2 0 0,-19 14 0,-26 9 0,16-14 0,1-3 0,-2-2 0,0-1 0,-58 3 0,-192-4 0,196-9 0,-2877-1-1545,1075 0-876,-78-67 2109,1104 28-68,-4186-111-2017,4378 140 2276,-854-33 124,145-72-3,894 47 0,-413-49 0,-3133-213 0,2676 218 0,1026 82 0,-1263-180 103,865 103 231,-621-104 3823,91 13-1578,1043 169-2579,-739-134 0,-385-96 0,683 173 0,-313-48 0,587 71 0,-720-142 0,-278-99 0,1320 291 0,12 2 0,-1 1 0,-90-38 0,36-6 0,-109-70 0,125 66 0,-180-76 0,240 120 0,-97-36 0,3-5 0,-221-130 0,-221-147 0,277 169 0,64-5 0,33 22 0,143 106 0,-79-72 0,37 24 0,79 71 0,1-2 0,1 0 0,-28-43 0,-8-6 0,34 35 0,19 31 0,1-1 0,0 0 0,-1 2 0,1-2 0,0 1 0,-2 0 0,1 2 0,0-2 0,0 0 0,-1 2 0,-1-2 0,-5-5 0,9 9 0,1 0 0,-1 0 0,-1 0 0,2 0 0,-1 0 0,1 0 0,-1 0 0,0 0 0,1 1 0,-1-1 0,1 0 0,-1 0 0,1 0 0,-2 2 0,2-2 0,-1 0 0,1 0 0,-1 1 0,1-1 0,-1 1 0,1-1 0,-1 0 0,1 1 0,0-1 0,-1 2 0,1-2 0,0 1 0,-2-1 0,2 1 0,0-1 0,0 1 0,-1-1 0,1 2 0,0-2 0,0 2 0,-8 31 0,8-26 0,-5 24 0,-21 82 0,24-104 0,0-3 0,-1 1 0,0 1 0,-1-1 0,1 1 0,-2-2 0,1 1 0,0 0 0,-1-2 0,-1 1 0,-8 9 0,14-15 0,-1 1 0,0-1 0,1 1 0,-1-1 0,-1 2 0,2-2 0,-1 0 0,0 1 0,0-1 0,0 0 0,0 0 0,1 1 0,-2-1 0,1 0 0,0 0 0,0 0 0,0 0 0,1 0 0,-1 0 0,-1 0 0,1-1 0,0 1 0,0 0 0,0 0 0,1-1 0,-1 1 0,-1 0 0,1-2 0,1 2 0,-1-1 0,0 1 0,1-1 0,-1 1 0,-1-1 0,2 1 0,-1-2 0,1 1 0,-1 1 0,1-1 0,-1 0 0,1-1 0,-1 2 0,1-1 0,0 0 0,-1 0 0,1-1 0,0 1 0,0 1 0,0-1 0,0-3 0,-11-54 0,8 25 0,0 1 0,2 0 0,1 0 0,2-2 0,1 3 0,8-38 0,-9 64 4,-1 2 0,0-2-1,1 1 1,-1 0-1,2-1 1,-1 1 0,1 1-1,-1-1 1,1 0 0,0 0-1,-1 2 1,2-1 0,-1 1-1,1-1 1,-1 0 0,1 0-1,-1 1 1,1 0 0,-1 0-1,2 1 1,-2-2-1,2 2 1,-1 0 0,0-1-1,0 1 1,9 0 0,4 1-158,1 0 1,0 1-1,-1 2 1,1-1-1,18 7 1,-18-5-390,30 7-6283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1 0,-25 7 0,36-8 0,0 1 0,1 0 0,-1 0 0,0 1 0,1 0 0,-1 0 0,1 1 0,0-1 0,0 1 0,1 0 0,-1-1 0,1 1 0,-1 0 0,1 1 0,1-1 0,-1 1 0,1 0 0,-1 0 0,1-1 0,-2 9 0,-2 16 0,0 1 0,2 0 0,1 0 0,2 0 0,1 0 0,6 47 0,-1 23 0,-5-95 0,1 76 0,21 155 0,-10-153 0,-8-54 0,0 1 0,2-1 0,14 41 0,-8-36 0,-2 1 0,-2-1 0,-1 2 0,3 53 0,-7-17 0,-8 89 0,5-153 0,-1 0 0,0-2 0,0 2 0,-1 0 0,0-1 0,0 0 0,-1 0 0,0 0 0,0 1 0,-1-2 0,-6 11 0,6-13 0,0 1 0,0-1 0,-1-2 0,1 2 0,-1 0 0,0-1 0,0 0 0,0 0 0,0-1 0,-1 1 0,1-1 0,-1 0 0,1-1 0,-1 1 0,0-1 0,-7 0 0,-2 1 0,-1-1 0,0 0 0,-30-3 0,41 2 0,1-1 0,0 1 0,-1-1 0,1 1 0,0-2 0,0 1 0,0-1 0,0 1 0,0-1 0,0 0 0,1-1 0,-1 1 0,0-1 0,1 1 0,0-1 0,0 0 0,0 0 0,0 0 0,-3-4 0,6 6 0,-1 1 0,1-1 0,-1 0 0,1 0 0,0 1 0,-1-1 0,1 0 0,0 0 0,0 0 0,-1 0 0,1 1 0,0-1 0,0 0 0,0 0 0,0 0 0,0 0 0,0 0 0,0 1 0,1-1 0,-1 0 0,0 0 0,0 0 0,1 0 0,-1 1 0,0-1 0,1 0 0,-1 0 0,1 1 0,-1-1 0,1 1 0,-1 0 0,1-1 0,0 0 0,-1 1 0,1-1 0,0 1 0,-1-1 0,1 1 0,0-1 0,0 1 0,-1 0 0,1-1 0,0 1 0,0 0 0,0-1 0,-1 1 0,3 0 0,1-1 0,0 0 0,0 0 0,0 1 0,1-1 0,-1 1 0,0 0 0,0 0 0,7 2 0,-5-1 0,0 1 0,1 0 0,-1 0 0,0 0 0,-1 1 0,1 0 0,-1 0 0,1 1 0,-1 0 0,0 0 0,0 0 0,0 0 0,-1 0 0,0 1 0,0 0 0,0 0 0,0 0 0,-1 1 0,4 7 0,2 8 0,-2 0 0,0 0 0,-1 1 0,3 25 0,8 31 0,3-2 0,17 50 0,-32-110 0,1-2 0,1 1 0,1-1 0,0 0 0,1-1 0,10 14 0,-15-23-170,0 0-1,1 1 0,0-1 1,-1 0-1,1 0 0,1-1 1,8 4-1,10 4-6655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14817 6145 24507,'-14817'-6140'0,"14984"6326"0,-334-372 0,438 181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860 0 24575,'0'15'0,"1"93"0,-40 188 0,-23-126 0,-10 85 0,56-120 0,16 169 0,5-122 0,-5-116 0,-5-1 0,-27 90 0,13-86 0,6-21 0,-28 56 0,16-47 0,6 0 0,-11 90 0,27-130 0,-4 7 0,-4 1 0,0 0 0,-3-2 0,0 1 0,-3-1 0,-28 28 0,3 0 0,28-34 0,-1-1 0,0 0 0,-34 26 0,44-38 0,1-1 0,-1 1 0,-2-1 0,3 1 0,-3-1 0,1 0 0,0 0 0,-1 0 0,1-1 0,-2 1 0,2-1 0,-2 0 0,-1 0 0,3-1 0,-2 0 0,0 1 0,0-1 0,0 0 0,-14 0 0,17-2 0,0 0 0,2 0 0,-2 0 0,2 0 0,-2 0 0,2 1 0,-2-2 0,1 0 0,1 1 0,0-1 0,0 0 0,-1 0 0,1 0 0,0 0 0,0 0 0,1 1 0,-1-2 0,2 1 0,-1-1 0,-1 1 0,1-1 0,1 1 0,1-1 0,-3-2 0,1 2 0,0-1 0,1 0 0,-1 1 0,1 0 0,-1-1 0,2 0 0,0 0 0,0 1 0,0-1 0,0 1 0,2-1 0,-2 0 0,1 1 0,1-1 0,-1 1 0,4-6 0,-3 8 0,-1 1 0,-1 0 0,2 0 0,-1-1 0,-1 1 0,2 0 0,0-1 0,-1 1 0,-1 0 0,2-1 0,-1 1 0,1 0 0,0 0 0,-2 0 0,1 0 0,1-1 0,-1 1 0,1 0 0,-2 1 0,1-1 0,1 0 0,0 0 0,-1 0 0,-1 0 0,2 1 0,-1-1 0,1 0 0,-2 1 0,2-1 0,-1 0 0,2 1 0,-3-1 0,1 0 0,1 0 0,-2 1 0,1 0 0,-1-1 0,2 1 0,-2 0 0,2-1 0,-2 1 0,0 0 0,1-1 0,1 2 0,34 30 0,-12-8 0,-3 0 0,0 0 0,-3 0 0,-2 1 0,-2 2 0,-1-1 0,-2 0 0,5 35 0,-11 322 0,-12-187 0,40 111 0,-3-5 0,-32 1373 0,4-1659 0,1 1 0,0 0 0,2-1 0,1 2 0,21 26 0,61 76 0,-77-109 0,0-1 0,-2 1 0,4-2 0,0 1 0,-1-1 0,3 0 0,-1 0 0,1-1 0,27 11 0,3-1 0,6-1 0,59 14 0,-100-28 0,68 20 0,-4 3 0,-1 1 0,126 62 0,-160-67-1365,-8-1-5461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50.656"/>
    </inkml:context>
    <inkml:brush xml:id="br0">
      <inkml:brushProperty name="width" value="0.025" units="cm"/>
      <inkml:brushProperty name="height" value="0.025" units="cm"/>
    </inkml:brush>
  </inkml:definitions>
  <inkml:trace contextRef="#ctx0" brushRef="#br0">39793 11947 24575,'-11'0'0,"-1246"-12"-716,-19-70-2122,508-14 1694,-190-40-1752,-173-24 1501,-116-15-1291,-102-12 1635,-2320-303-707,-1242-175-141,3586 479 1899,75 6 0,97 18 0,112 20 74,-483-54 259,-427-59 425,-916-119 2795,2719 356-3377,-1824-256 1600,22-112 846,1742 335-2622,-975-251 0,-78-86 0,724 182 1462,438 161-612,1-5 0,4-5 0,-101-74 0,-91-96-198,-313-320 0,-191-301 273,705 747-925,4-5 0,-98-167 0,39 43 0,-214-262 0,272 380 0,-118-203 0,-26-139 0,69 115 0,37 68 0,-82-219 0,87 195 0,11 35 0,69 146 0,18 56 0,-2-1 0,-36-72 0,23 62 0,-39-138 0,19 52 0,35 102 0,2 1 0,3-2 0,-9-94 0,21 144 0,0-2 0,-1 2 0,1 0 0,0 0 0,-1-1 0,1 1 0,-1-1 0,0 1 0,-1-1 0,1 1 0,0 0 0,0 0 0,0-1 0,-2 1 0,0-2 0,3 4 0,-2-1 0,1 0 0,0 1 0,0-2 0,0 2 0,0 0 0,-1-1 0,0 1 0,1 0 0,0 0 0,0-1 0,-1 1 0,1 0 0,0 0 0,0 0 0,0 0 0,-1 1 0,0-1 0,1 0 0,0 0 0,0 1 0,-3 1 0,-2 0 0,0 1 0,1 0 0,-1 1 0,0 0 0,1 1 0,-1-1 0,2 1 0,0-2 0,-1 2 0,-4 8 0,-3 3 0,1 3 0,2-2 0,0 2 0,-7 24 0,10-27 0,2 1 0,-4-2 0,0 0 0,0 1 0,-1-2 0,-2 2 0,-14 15 0,16-19 0,1 3 0,-1-2 0,1 1 0,-7 20 0,27-64 0,61-133 0,-60 136 0,1 1 0,1 2 0,1 1 0,26-27 0,-32 36 0,0 2 0,-1-1 0,9-17 0,16-21 0,-33 48 10,1 1-1,1 0 1,-1 0-1,0 0 1,1 0-1,-1 1 0,-1-1 1,2 1-1,0 0 1,0-1-1,-1 1 1,2-1-1,-2 1 1,1 0-1,1 1 1,-2-1-1,2 1 0,-2-1 1,2 1-1,-1 0 1,0 0-1,0 0 1,1 0-1,-2 1 1,1-1-1,1 1 1,-2 0-1,2-1 0,-2 1 1,2 1-1,-2 0 1,0-1-1,3 2 1,14 6-193,0 2 0,-3-1 0,32 27 0,-23-17-772,20 13-5871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45070 1975 24575,'-3090'0'-5178,"2089"0"3766,-194-2-1789,-168-11 1855,-142-13-838,-99-4 1358,1467 27 805,-5459-90-1304,-17 43 435,-673 51 885,3329 1 46,330-41 124,22-112 243,13-142 301,1820 197-262,356 45 256,-1614-211 1240,889 59 756,-300-15 167,1094 183-2904,-237-35 2473,578 69-2377,-9-1 189,0-1 0,-2 0 0,2-1 0,0 0 0,1-1-1,-1 0 1,1 0 0,-16-11 0,30 16-223,-2 0 1,1-1-1,1 1 1,-1-1-1,1 1 1,-1-1-1,0 1 1,1 0-1,-1-1 1,1 1-1,-2-1 1,2 1-1,0-1 0,-1 0 1,1 1-1,0-1 1,-1 0-1,1 0 1,0 1-1,0-1 1,0 0-1,-1 0 1,1 0-1,15-4 553,29 10-196,-23 3-360,0 1 1,-1 1 0,0 0 0,-1 2-1,-2-1 1,28 21 0,35 24 11,-79-55-33,1-1 0,-1 1 0,0 0 0,0 0 0,0-1 0,2 1 0,-2 0 0,0-1 0,0 1 0,0-1 0,2 0 0,-2 1 0,0-1 0,0 0 0,1 0 0,0 0 0,1 0 0,-2 0 0,0 0 0,-1-1 0,2 1 0,-2 0 0,1-1 0,-1 1 0,1-1 0,-1 1 0,1-1 0,-1 1 0,1-1 0,-1 1 0,0-1 0,1 1 0,-1-1 0,0 1 0,0-1 0,2 0 0,-2 1 0,0-1 0,0 0 0,0 1 0,0-1 0,0-1 0,1-2 0,-1-2 0,0 0 0,-1 2 0,-1-2 0,1 0 0,0 1 0,-2-5 0,-15-24 0,-2-1 0,-1 1 0,-2 1 0,-30-31 0,37 43 0,-13-11 0,21 23 0,-1 1 0,2 0 0,0-1 0,2 0 0,-1 0 0,-8-18 0,13 26 8,1-1 1,0 1-1,0 0 0,0-1 0,0 1 0,0-1 0,0 1 1,0-1-1,0 1 0,0 0 0,0 0 0,1 0 0,-1-1 0,1 1 1,-1 0-1,1-1 0,0 1 0,-1 0 0,1 0 0,1 0 1,-1-1-1,0 1 0,0 0 0,0 0 0,0 0 0,1 0 1,-1 0-1,0 1 0,0 0 0,1-1 0,0 1 0,-1-1 0,1 0 1,-1 1-1,0-1 0,2 1 0,-2 0 0,0 0 0,1-1 1,3 1-1,9-2-282,-1 1 0,0 0 1,25 2-1,-28-1-331,31 2-6221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7:22:22.638"/>
    </inkml:context>
    <inkml:brush xml:id="br0">
      <inkml:brushProperty name="width" value="0.025" units="cm"/>
      <inkml:brushProperty name="height" value="0.025" units="cm"/>
    </inkml:brush>
  </inkml:definitions>
  <inkml:trace contextRef="#ctx0" brushRef="#br0">43498 0 24575,'-15'10'0,"-3"1"0,0-1 0,0 0 0,-2-1 0,-1 0 0,-34 11 0,-17 8 0,-1011 360 0,824-300 0,-2966 947-1958,3093-996 1749,-2563 752-55,1777-557 214,-1046 199 0,-1140 130-538,-104-117 355,108-149-1171,-45-109 1507,562-140-243,29-57 125,2463 8 16,-3961-130-1,1442-70 1081,2277 162-527,-416-75-1,-283-85 1864,762 136-2355,7-7 0,-402-136 0,485 147-46,80 26-16,-163-49 0,10-6 0,-340-150 0,-242-158 0,738 342 0,6-2 0,4-1 0,-136-120 0,135 98 0,-184-115 0,177 134 0,8-2 0,5-1 0,-81-90 0,-131-211 0,184 250 0,71 80 0,-40-56 0,-56-55 0,100 112 0,4-1 0,0 0 0,6 0 0,-29-70 0,41 69 0,-5 1 0,-5-1 0,-35-39 0,-8-13 0,66 86 0,0 0 0,0 1 0,0-1 0,0 1 0,0-2 0,0 2 0,-3-1 0,3 0 0,0 1 0,0-1 0,0 1 0,-2-1 0,2 1 0,0-1 0,-3 1 0,3-1 0,0 1 0,-3 0 0,3-1 0,-2 1 0,2-1 0,-3 1 0,3 0 0,-2-1 0,2 1 0,-3 0 0,3 0 0,-2-1 0,-26 14 0,-24 41 0,40-37 0,-119 101 0,113-106 0,-3 2 0,1-2 0,-3 0 0,0 2 0,0-3 0,-39 13 0,60-23 0,-1 0 0,3 0 0,-2 0 0,-1 1 0,0-1 0,1-1 0,-1 1 0,1 0 0,-3 0 0,2-1 0,0 1 0,1-1 0,-1 2 0,-2-2 0,3 1 0,-1-1 0,-2 0 0,2 1 0,1-1 0,-3 0 0,2 0 0,1 0 0,-3 0 0,2 0 0,0-1 0,1 1 0,-3 0 0,2 0 0,1-1 0,-3 1 0,2-2 0,0 2 0,1-1 0,0 0 0,0 0 0,-3 1 0,2-1 0,1 0 0,-1-1 0,0 1 0,3 0 0,-2 0 0,-1 0 0,1 0 0,-1 0 0,3 0 0,-2-1 0,2 1 0,-3 0 0,3 0 0,-3-1 0,3 1 0,0 0 0,0-1 0,-2 1 0,2-3 0,-8-10 0,3-2 0,0 0 0,0-28 0,5 43 0,-3-39 0,1 20 0,-1 0 0,3 1 0,3-1 0,2 2 0,0-1 0,21-31 0,-24 47 0,3 1 0,-2-1 0,2 1 0,0-2 0,0 2 0,0-1 0,-1 1 0,2 0 0,-1 0 0,0 1 0,2-1 0,-1 0 0,1 1 0,-2 0 0,3-1 0,-3 1 0,3 0 0,-1 0 0,1 1 0,0-2 0,-3 1 0,3 1 0,-1 0 0,1 0 0,0 0 0,-1 0 0,1 0 0,0 1 0,-3-1 0,2 2 0,9-1 0,25 3 0,0 0 0,-3 1 0,1 2 0,43 7 0,293 76 0,-370-90 0,-2 2 0,-1-2 0,3 1 0,-2-1 0,-1 1 0,1 0 0,0-1 0,2 1 0,-3 0 0,1 0 0,-1 0 0,1 0 0,-1 0 0,-2 0 0,3 0 0,0 1 0,-1 0 0,3 1 0,-7-2 0,2-1 0,-3 2 0,3-2 0,-2 1 0,2-1 0,-3 1 0,3-1 0,-3 1 0,3-1 0,-2 1 0,2-1 0,-3 0 0,1 1 0,2-1 0,-3 0 0,1 0 0,2 1 0,-3-1 0,1 0 0,2 0 0,-3 0 0,0 0 0,1 0 0,-1 0 0,-144 1 0,91-5 0,-1-1 0,4-1 0,-106-18 0,105 16 0,-5-1 0,3 2 0,-65-5 0,114 11-36,-1 1 0,0 0 0,3 0 1,-2 0-1,-1 0 0,1 0 0,0 0 0,-1 1 0,3-1 0,-3 1 0,0 1 0,1 0 0,2-1 0,-3 0 0,3 0 0,-3 1 0,3-1 1,-3 1-1,3 0 0,0 0 0,0-1 0,0 1 0,0 1 0,0 0 0,-1-1 0,4 0 0,-3 1 0,2-1 0,-2 1 0,3-1 0,-1 1 1,0 1-1,1-2 0,-1 1 0,3 0 0,-2 0 0,-1 5 0,-7 22-6790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55.323"/>
    </inkml:context>
    <inkml:brush xml:id="br0">
      <inkml:brushProperty name="width" value="0.025" units="cm"/>
      <inkml:brushProperty name="height" value="0.025" units="cm"/>
    </inkml:brush>
  </inkml:definitions>
  <inkml:trace contextRef="#ctx0" brushRef="#br0">19599 0 24575,'-7'10'0,"-1"-2"0,0 1 0,0 0 0,-1-1 0,-1-1 0,-15 12 0,-7 5 0,-456 316 0,370-263 0,-1334 830-1958,1392-871 1749,-1154 657-55,801-487 214,-473 174 0,-512 113-538,-48-103 355,50-130-1171,-20-94 1507,251-124-243,15-50 125,1109 7 16,-1785-114-1,650-61 1081,1026 142-527,-188-67-1,-127-73 1864,344 118-2355,2-5 0,-180-120 0,217 130-46,37 23-16,-73-44 0,4-6 0,-153-131 0,-110-138 0,334 300 0,2-2 0,2-2 0,-61-103 0,59 84 0,-82-99 0,82 116 0,1-2 0,4 0 0,-38-79 0,-60-186 0,85 221 0,32 69 0,-18-48 0,-26-51 0,45 100 0,2 0 0,0-1 0,3 0 0,-14-61 0,20 60 0,-3 1 0,-3 0 0,-15-35 0,-4-12 0,30 76 0,0 0 0,0 1 0,0-1 0,0 1 0,0-1 0,0 1 0,-1 0 0,1-1 0,0 1 0,0-1 0,0 1 0,-1-1 0,1 1 0,0-1 0,-2 1 0,2 0 0,0 0 0,-1 0 0,1-1 0,-1 1 0,1-1 0,-1 1 0,1 0 0,-1-1 0,1 1 0,-1 0 0,1 0 0,-1-1 0,-12 11 0,-10 39 0,17-35 0,-54 90 0,52-94 0,0 3 0,-1-2 0,-2-1 0,1 2 0,0-3 0,-18 14 0,27-23 0,0 1 0,1 0 0,-1 0 0,-1 0 0,1 0 0,0-1 0,0 1 0,0 0 0,-1-1 0,0 0 0,1 1 0,0-1 0,0 1 0,-1-1 0,0 1 0,1-1 0,-1 0 0,1 1 0,0-1 0,-2 0 0,2 0 0,0 0 0,-1 0 0,1 0 0,-1-1 0,1 1 0,-1 0 0,1 0 0,0-1 0,-2 1 0,2-1 0,0 1 0,0-1 0,0 1 0,0-1 0,-2 1 0,2-1 0,0 0 0,0 0 0,0 0 0,1 0 0,-1 0 0,-1 1 0,1-1 0,0 0 0,1 0 0,-1-1 0,1 1 0,-1 0 0,1 0 0,-1-1 0,1 1 0,0 0 0,0-1 0,-1 1 0,1-2 0,-4-9 0,2-2 0,-1 0 0,1-24 0,2 36 0,-1-34 0,0 20 0,0-3 0,1 3 0,1-1 0,1 0 0,0 1 0,10-28 0,-11 41 0,1 1 0,0 0 0,0 0 0,0 0 0,1 0 0,-1 0 0,0 0 0,0 0 0,1 0 0,-1 1 0,1-1 0,0 0 0,0 1 0,0 0 0,0-1 0,-1 1 0,2 0 0,-1 0 0,1 1 0,-1-1 0,-1 0 0,2 1 0,-1 0 0,1 0 0,-1 0 0,1 0 0,-1 0 0,1 1 0,-2-1 0,1 1 0,4 0 0,12 3 0,-1 0 0,-2 1 0,3 1 0,18 5 0,132 69 0,-167-80 0,-1 1 0,0-1 0,2 1 0,-2-1 0,0 1 0,0-1 0,0 0 0,2 1 0,-2 0 0,0 0 0,0 0 0,0 0 0,0 0 0,-1 0 0,2 0 0,-1 0 0,0 1 0,1 1 0,-3-2 0,1-1 0,-1 1 0,1-1 0,-1 1 0,1-1 0,-1 1 0,1-1 0,-2 1 0,2-1 0,-1 1 0,1-1 0,-1 0 0,0 1 0,1-1 0,-1 0 0,0 0 0,1 1 0,-2-1 0,1 0 0,1 0 0,-1 0 0,0 0 0,0 0 0,0 0 0,-66 1 0,42-5 0,-1 0 0,2-2 0,-47-14 0,45 12 0,1 0 0,0 2 0,-29-3 0,50 8-36,1 1 0,-1 0 0,2 0 1,-2 0-1,1 0 0,0 0 0,-1 0 0,1 1 0,0-1 0,0 1 0,-1 0 0,1 0 0,1 0 0,-2 0 0,2 0 0,-2 1 0,2-2 1,-1 2-1,0 0 0,1-1 0,0 0 0,-1 1 0,1 1 0,0-1 0,0 0 0,0 0 0,0 1 0,1-1 0,-1 1 0,1-1 0,-1 0 1,1 1-1,0-1 0,0 0 0,1 1 0,-1 0 0,0 4 0,-4 19-6790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F4EA-9608-4122-8566-98B5A43C1E99}">
  <dimension ref="B2:H13"/>
  <sheetViews>
    <sheetView tabSelected="1" zoomScale="85" zoomScaleNormal="85" workbookViewId="0">
      <selection activeCell="C19" sqref="C19"/>
    </sheetView>
  </sheetViews>
  <sheetFormatPr defaultRowHeight="14.25" x14ac:dyDescent="0.2"/>
  <cols>
    <col min="2" max="2" width="14.5" customWidth="1"/>
    <col min="3" max="3" width="104.125" customWidth="1"/>
    <col min="6" max="6" width="9" style="2"/>
    <col min="7" max="7" width="9" style="1"/>
    <col min="8" max="8" width="9" style="19"/>
  </cols>
  <sheetData>
    <row r="2" spans="2:3" x14ac:dyDescent="0.2">
      <c r="B2" s="96" t="s">
        <v>186</v>
      </c>
      <c r="C2" s="62" t="s">
        <v>187</v>
      </c>
    </row>
    <row r="3" spans="2:3" x14ac:dyDescent="0.2">
      <c r="B3" s="96"/>
      <c r="C3" s="62" t="s">
        <v>188</v>
      </c>
    </row>
    <row r="4" spans="2:3" x14ac:dyDescent="0.2">
      <c r="B4" s="96"/>
      <c r="C4" s="62" t="s">
        <v>189</v>
      </c>
    </row>
    <row r="5" spans="2:3" x14ac:dyDescent="0.2">
      <c r="B5" s="96"/>
      <c r="C5" s="62" t="s">
        <v>190</v>
      </c>
    </row>
    <row r="6" spans="2:3" x14ac:dyDescent="0.2">
      <c r="B6" s="96"/>
      <c r="C6" s="62" t="s">
        <v>191</v>
      </c>
    </row>
    <row r="7" spans="2:3" x14ac:dyDescent="0.2">
      <c r="B7" s="96"/>
      <c r="C7" s="77" t="s">
        <v>230</v>
      </c>
    </row>
    <row r="8" spans="2:3" x14ac:dyDescent="0.2">
      <c r="B8" s="97" t="s">
        <v>237</v>
      </c>
      <c r="C8" s="77" t="s">
        <v>295</v>
      </c>
    </row>
    <row r="9" spans="2:3" x14ac:dyDescent="0.2">
      <c r="B9" s="98"/>
      <c r="C9" s="62" t="s">
        <v>296</v>
      </c>
    </row>
    <row r="10" spans="2:3" x14ac:dyDescent="0.2">
      <c r="B10" s="98"/>
      <c r="C10" s="62" t="s">
        <v>297</v>
      </c>
    </row>
    <row r="11" spans="2:3" ht="15" thickBot="1" x14ac:dyDescent="0.25">
      <c r="B11" s="98"/>
      <c r="C11" s="77" t="s">
        <v>292</v>
      </c>
    </row>
    <row r="12" spans="2:3" ht="15" thickBot="1" x14ac:dyDescent="0.25">
      <c r="B12" s="92" t="s">
        <v>314</v>
      </c>
      <c r="C12" s="91" t="s">
        <v>315</v>
      </c>
    </row>
    <row r="13" spans="2:3" ht="15" thickBot="1" x14ac:dyDescent="0.25">
      <c r="B13" s="92" t="s">
        <v>322</v>
      </c>
      <c r="C13" s="91" t="s">
        <v>323</v>
      </c>
    </row>
  </sheetData>
  <mergeCells count="2">
    <mergeCell ref="B2:B7"/>
    <mergeCell ref="B8:B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FE83-8F64-4FCD-9F1F-3130D1CF2600}">
  <dimension ref="D4:J27"/>
  <sheetViews>
    <sheetView topLeftCell="E1" zoomScale="85" zoomScaleNormal="85" workbookViewId="0">
      <selection activeCell="I31" sqref="I31"/>
    </sheetView>
  </sheetViews>
  <sheetFormatPr defaultRowHeight="14.25" x14ac:dyDescent="0.2"/>
  <cols>
    <col min="4" max="4" width="25.5" customWidth="1"/>
    <col min="5" max="5" width="13.125" customWidth="1"/>
    <col min="6" max="6" width="38" style="2" customWidth="1"/>
    <col min="7" max="7" width="15.125" style="1" customWidth="1"/>
    <col min="8" max="8" width="41.5" style="19" customWidth="1"/>
    <col min="9" max="9" width="54" customWidth="1"/>
    <col min="10" max="10" width="26.875" customWidth="1"/>
  </cols>
  <sheetData>
    <row r="4" spans="4:10" ht="15" thickBot="1" x14ac:dyDescent="0.25"/>
    <row r="5" spans="4:10" ht="15.75" thickBot="1" x14ac:dyDescent="0.25">
      <c r="D5" s="86"/>
      <c r="E5" s="79" t="s">
        <v>238</v>
      </c>
      <c r="F5" s="79" t="s">
        <v>239</v>
      </c>
      <c r="G5" s="79" t="s">
        <v>240</v>
      </c>
      <c r="H5" s="79" t="s">
        <v>241</v>
      </c>
      <c r="I5" s="87" t="s">
        <v>72</v>
      </c>
      <c r="J5" s="79" t="s">
        <v>310</v>
      </c>
    </row>
    <row r="6" spans="4:10" ht="15" thickBot="1" x14ac:dyDescent="0.25">
      <c r="D6" s="99" t="s">
        <v>304</v>
      </c>
      <c r="E6" s="80">
        <v>1</v>
      </c>
      <c r="F6" s="81" t="s">
        <v>242</v>
      </c>
      <c r="G6" s="81" t="s">
        <v>243</v>
      </c>
      <c r="H6" s="81" t="s">
        <v>244</v>
      </c>
      <c r="I6" s="85" t="s">
        <v>245</v>
      </c>
      <c r="J6" s="81"/>
    </row>
    <row r="7" spans="4:10" ht="15" thickBot="1" x14ac:dyDescent="0.25">
      <c r="D7" s="100"/>
      <c r="E7" s="80">
        <v>2</v>
      </c>
      <c r="F7" s="81" t="s">
        <v>246</v>
      </c>
      <c r="G7" s="81" t="s">
        <v>243</v>
      </c>
      <c r="H7" s="81" t="s">
        <v>244</v>
      </c>
      <c r="I7" s="85" t="s">
        <v>247</v>
      </c>
      <c r="J7" s="81"/>
    </row>
    <row r="8" spans="4:10" ht="15" thickBot="1" x14ac:dyDescent="0.25">
      <c r="D8" s="100"/>
      <c r="E8" s="80">
        <v>3</v>
      </c>
      <c r="F8" s="81" t="s">
        <v>248</v>
      </c>
      <c r="G8" s="81" t="s">
        <v>243</v>
      </c>
      <c r="H8" s="81" t="s">
        <v>244</v>
      </c>
      <c r="I8" s="85" t="s">
        <v>249</v>
      </c>
      <c r="J8" s="81"/>
    </row>
    <row r="9" spans="4:10" ht="15" thickBot="1" x14ac:dyDescent="0.25">
      <c r="D9" s="100"/>
      <c r="E9" s="80">
        <v>4</v>
      </c>
      <c r="F9" s="81" t="s">
        <v>250</v>
      </c>
      <c r="G9" s="81" t="s">
        <v>243</v>
      </c>
      <c r="H9" s="81" t="s">
        <v>244</v>
      </c>
      <c r="I9" s="85" t="s">
        <v>251</v>
      </c>
      <c r="J9" s="81"/>
    </row>
    <row r="10" spans="4:10" ht="15" thickBot="1" x14ac:dyDescent="0.25">
      <c r="D10" s="100"/>
      <c r="E10" s="80">
        <v>5</v>
      </c>
      <c r="F10" s="81" t="s">
        <v>252</v>
      </c>
      <c r="G10" s="81" t="s">
        <v>253</v>
      </c>
      <c r="H10" s="81" t="s">
        <v>244</v>
      </c>
      <c r="I10" s="85" t="s">
        <v>254</v>
      </c>
      <c r="J10" s="81"/>
    </row>
    <row r="11" spans="4:10" ht="15" thickBot="1" x14ac:dyDescent="0.25">
      <c r="D11" s="100"/>
      <c r="E11" s="80">
        <v>6</v>
      </c>
      <c r="F11" s="81" t="s">
        <v>255</v>
      </c>
      <c r="G11" s="81" t="s">
        <v>253</v>
      </c>
      <c r="H11" s="81" t="s">
        <v>244</v>
      </c>
      <c r="I11" s="85" t="s">
        <v>256</v>
      </c>
      <c r="J11" s="81"/>
    </row>
    <row r="12" spans="4:10" ht="15" thickBot="1" x14ac:dyDescent="0.25">
      <c r="D12" s="100"/>
      <c r="E12" s="80">
        <v>7</v>
      </c>
      <c r="F12" s="81" t="s">
        <v>257</v>
      </c>
      <c r="G12" s="81" t="s">
        <v>243</v>
      </c>
      <c r="H12" s="81" t="s">
        <v>244</v>
      </c>
      <c r="I12" s="85" t="s">
        <v>258</v>
      </c>
      <c r="J12" s="81"/>
    </row>
    <row r="13" spans="4:10" ht="15" thickBot="1" x14ac:dyDescent="0.25">
      <c r="D13" s="100"/>
      <c r="E13" s="80">
        <v>8</v>
      </c>
      <c r="F13" s="81" t="s">
        <v>259</v>
      </c>
      <c r="G13" s="81" t="s">
        <v>243</v>
      </c>
      <c r="H13" s="81" t="s">
        <v>244</v>
      </c>
      <c r="I13" s="85" t="s">
        <v>260</v>
      </c>
      <c r="J13" s="81"/>
    </row>
    <row r="14" spans="4:10" ht="15" thickBot="1" x14ac:dyDescent="0.25">
      <c r="D14" s="100"/>
      <c r="E14" s="80">
        <v>9</v>
      </c>
      <c r="F14" s="81" t="s">
        <v>261</v>
      </c>
      <c r="G14" s="81" t="s">
        <v>243</v>
      </c>
      <c r="H14" s="81" t="s">
        <v>244</v>
      </c>
      <c r="I14" s="85" t="s">
        <v>262</v>
      </c>
      <c r="J14" s="81"/>
    </row>
    <row r="15" spans="4:10" ht="15" thickBot="1" x14ac:dyDescent="0.25">
      <c r="D15" s="100"/>
      <c r="E15" s="80">
        <v>10</v>
      </c>
      <c r="F15" s="81" t="s">
        <v>263</v>
      </c>
      <c r="G15" s="81" t="s">
        <v>243</v>
      </c>
      <c r="H15" s="81" t="s">
        <v>244</v>
      </c>
      <c r="I15" s="85" t="s">
        <v>264</v>
      </c>
      <c r="J15" s="81"/>
    </row>
    <row r="16" spans="4:10" ht="15" thickBot="1" x14ac:dyDescent="0.25">
      <c r="D16" s="100"/>
      <c r="E16" s="80">
        <v>11</v>
      </c>
      <c r="F16" s="81" t="s">
        <v>265</v>
      </c>
      <c r="G16" s="81" t="s">
        <v>253</v>
      </c>
      <c r="H16" s="81" t="s">
        <v>244</v>
      </c>
      <c r="I16" s="85" t="s">
        <v>266</v>
      </c>
      <c r="J16" s="81"/>
    </row>
    <row r="17" spans="4:10" ht="15" thickBot="1" x14ac:dyDescent="0.25">
      <c r="D17" s="101"/>
      <c r="E17" s="80">
        <v>12</v>
      </c>
      <c r="F17" s="81" t="s">
        <v>267</v>
      </c>
      <c r="G17" s="81" t="s">
        <v>253</v>
      </c>
      <c r="H17" s="81" t="s">
        <v>244</v>
      </c>
      <c r="I17" s="85" t="s">
        <v>268</v>
      </c>
      <c r="J17" s="81"/>
    </row>
    <row r="18" spans="4:10" ht="15" thickBot="1" x14ac:dyDescent="0.25">
      <c r="D18" s="99" t="s">
        <v>269</v>
      </c>
      <c r="E18" s="80">
        <v>13</v>
      </c>
      <c r="F18" s="81" t="s">
        <v>270</v>
      </c>
      <c r="G18" s="81" t="s">
        <v>253</v>
      </c>
      <c r="H18" s="81" t="s">
        <v>244</v>
      </c>
      <c r="I18" s="85" t="s">
        <v>271</v>
      </c>
      <c r="J18" s="81"/>
    </row>
    <row r="19" spans="4:10" ht="15" thickBot="1" x14ac:dyDescent="0.25">
      <c r="D19" s="102"/>
      <c r="E19" s="80">
        <v>14</v>
      </c>
      <c r="F19" s="81" t="s">
        <v>272</v>
      </c>
      <c r="G19" s="81" t="s">
        <v>253</v>
      </c>
      <c r="H19" s="81" t="s">
        <v>244</v>
      </c>
      <c r="I19" s="85" t="s">
        <v>273</v>
      </c>
      <c r="J19" s="81"/>
    </row>
    <row r="20" spans="4:10" ht="15" thickBot="1" x14ac:dyDescent="0.25">
      <c r="D20" s="102"/>
      <c r="E20" s="80">
        <v>15</v>
      </c>
      <c r="F20" s="81" t="s">
        <v>290</v>
      </c>
      <c r="G20" s="81" t="s">
        <v>274</v>
      </c>
      <c r="H20" s="81" t="s">
        <v>244</v>
      </c>
      <c r="I20" s="85" t="s">
        <v>275</v>
      </c>
      <c r="J20" s="81"/>
    </row>
    <row r="21" spans="4:10" ht="15" thickBot="1" x14ac:dyDescent="0.25">
      <c r="D21" s="102"/>
      <c r="E21" s="80">
        <v>16</v>
      </c>
      <c r="F21" s="81" t="s">
        <v>291</v>
      </c>
      <c r="G21" s="81" t="s">
        <v>274</v>
      </c>
      <c r="H21" s="81" t="s">
        <v>244</v>
      </c>
      <c r="I21" s="85" t="s">
        <v>276</v>
      </c>
      <c r="J21" s="81"/>
    </row>
    <row r="22" spans="4:10" ht="15" thickBot="1" x14ac:dyDescent="0.25">
      <c r="D22" s="102"/>
      <c r="E22" s="80">
        <v>17</v>
      </c>
      <c r="F22" s="82" t="s">
        <v>277</v>
      </c>
      <c r="G22" s="81" t="s">
        <v>278</v>
      </c>
      <c r="H22" s="81" t="s">
        <v>279</v>
      </c>
      <c r="I22" s="85" t="s">
        <v>280</v>
      </c>
      <c r="J22" s="81"/>
    </row>
    <row r="23" spans="4:10" ht="15" thickBot="1" x14ac:dyDescent="0.25">
      <c r="D23" s="102"/>
      <c r="E23" s="80">
        <v>18</v>
      </c>
      <c r="F23" s="81" t="s">
        <v>293</v>
      </c>
      <c r="G23" s="81" t="s">
        <v>274</v>
      </c>
      <c r="H23" s="81" t="s">
        <v>244</v>
      </c>
      <c r="I23" s="85" t="s">
        <v>275</v>
      </c>
      <c r="J23" s="78" t="s">
        <v>306</v>
      </c>
    </row>
    <row r="24" spans="4:10" ht="15" thickBot="1" x14ac:dyDescent="0.25">
      <c r="D24" s="103"/>
      <c r="E24" s="80">
        <v>19</v>
      </c>
      <c r="F24" s="81" t="s">
        <v>294</v>
      </c>
      <c r="G24" s="81" t="s">
        <v>274</v>
      </c>
      <c r="H24" s="81" t="s">
        <v>244</v>
      </c>
      <c r="I24" s="85" t="s">
        <v>276</v>
      </c>
      <c r="J24" s="78" t="s">
        <v>307</v>
      </c>
    </row>
    <row r="25" spans="4:10" ht="15" thickBot="1" x14ac:dyDescent="0.25">
      <c r="D25" s="104" t="s">
        <v>305</v>
      </c>
      <c r="E25" s="80">
        <v>20</v>
      </c>
      <c r="F25" s="84" t="s">
        <v>287</v>
      </c>
      <c r="G25" s="84" t="s">
        <v>274</v>
      </c>
      <c r="H25" s="84" t="s">
        <v>288</v>
      </c>
      <c r="I25" s="88" t="s">
        <v>289</v>
      </c>
      <c r="J25" s="78" t="s">
        <v>308</v>
      </c>
    </row>
    <row r="26" spans="4:10" ht="15" thickBot="1" x14ac:dyDescent="0.25">
      <c r="D26" s="102"/>
      <c r="E26" s="80">
        <v>21</v>
      </c>
      <c r="F26" s="82" t="s">
        <v>281</v>
      </c>
      <c r="G26" s="81" t="s">
        <v>278</v>
      </c>
      <c r="H26" s="81" t="s">
        <v>279</v>
      </c>
      <c r="I26" s="85" t="s">
        <v>282</v>
      </c>
      <c r="J26" s="81"/>
    </row>
    <row r="27" spans="4:10" ht="29.25" thickBot="1" x14ac:dyDescent="0.25">
      <c r="D27" s="103"/>
      <c r="E27" s="80">
        <v>22</v>
      </c>
      <c r="F27" s="83" t="s">
        <v>283</v>
      </c>
      <c r="G27" s="81" t="s">
        <v>253</v>
      </c>
      <c r="H27" s="81" t="s">
        <v>284</v>
      </c>
      <c r="I27" s="85" t="s">
        <v>285</v>
      </c>
      <c r="J27" s="81"/>
    </row>
  </sheetData>
  <mergeCells count="3">
    <mergeCell ref="D6:D17"/>
    <mergeCell ref="D18:D24"/>
    <mergeCell ref="D25:D2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39"/>
  <sheetViews>
    <sheetView zoomScale="85" zoomScaleNormal="85" workbookViewId="0">
      <selection activeCell="AH22" sqref="AH2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4" max="34" width="49" customWidth="1"/>
  </cols>
  <sheetData>
    <row r="1" spans="6:3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153</v>
      </c>
    </row>
    <row r="2" spans="6:34" x14ac:dyDescent="0.2">
      <c r="F2" s="4" t="s">
        <v>40</v>
      </c>
      <c r="G2" s="5" t="s">
        <v>9</v>
      </c>
      <c r="H2" s="18"/>
      <c r="I2" s="4" t="s">
        <v>6</v>
      </c>
      <c r="J2" s="105" t="s">
        <v>7</v>
      </c>
      <c r="K2" s="105"/>
      <c r="L2" s="105"/>
      <c r="M2" s="105"/>
      <c r="N2" s="105"/>
      <c r="O2" s="105"/>
      <c r="P2" s="105"/>
      <c r="Q2" s="105"/>
      <c r="R2" s="105"/>
      <c r="S2" s="105"/>
      <c r="T2" s="105"/>
      <c r="U2" s="105"/>
      <c r="V2" s="105"/>
      <c r="W2" s="105"/>
      <c r="X2" s="105"/>
      <c r="Y2" s="105"/>
      <c r="Z2" s="105"/>
      <c r="AA2" s="105"/>
      <c r="AB2" s="105"/>
      <c r="AC2" s="105"/>
      <c r="AD2" s="105"/>
      <c r="AE2" s="105"/>
      <c r="AF2" s="105"/>
      <c r="AG2" s="105"/>
    </row>
    <row r="3" spans="6:34" ht="47.25" x14ac:dyDescent="0.2">
      <c r="F3" s="6" t="s">
        <v>10</v>
      </c>
      <c r="G3" s="7" t="s">
        <v>28</v>
      </c>
      <c r="H3" s="20">
        <v>0</v>
      </c>
      <c r="I3" s="8" t="str">
        <f t="shared" ref="I3:I11" si="0">"0x" &amp; DEC2HEX(H3,2)</f>
        <v>0x00</v>
      </c>
      <c r="J3" s="108" t="s">
        <v>23</v>
      </c>
      <c r="K3" s="108"/>
      <c r="L3" s="108"/>
      <c r="M3" s="108"/>
      <c r="N3" s="108"/>
      <c r="O3" s="108"/>
      <c r="P3" s="108"/>
      <c r="Q3" s="108"/>
      <c r="R3" s="15" t="s">
        <v>41</v>
      </c>
      <c r="S3" s="108" t="s">
        <v>50</v>
      </c>
      <c r="T3" s="108"/>
      <c r="U3" s="15" t="s">
        <v>36</v>
      </c>
      <c r="V3" s="9">
        <v>0</v>
      </c>
      <c r="W3" s="15" t="s">
        <v>53</v>
      </c>
      <c r="X3" s="15" t="s">
        <v>20</v>
      </c>
      <c r="Y3" s="15" t="s">
        <v>19</v>
      </c>
      <c r="Z3" s="15" t="s">
        <v>18</v>
      </c>
      <c r="AA3" s="15" t="s">
        <v>17</v>
      </c>
      <c r="AB3" s="15" t="s">
        <v>16</v>
      </c>
      <c r="AC3" s="15" t="s">
        <v>15</v>
      </c>
      <c r="AD3" s="15" t="s">
        <v>14</v>
      </c>
      <c r="AE3" s="15" t="s">
        <v>13</v>
      </c>
      <c r="AF3" s="15" t="s">
        <v>12</v>
      </c>
      <c r="AG3" s="15" t="s">
        <v>11</v>
      </c>
      <c r="AH3" t="s">
        <v>156</v>
      </c>
    </row>
    <row r="4" spans="6:34" x14ac:dyDescent="0.2">
      <c r="F4" s="6" t="s">
        <v>37</v>
      </c>
      <c r="G4" s="7" t="s">
        <v>28</v>
      </c>
      <c r="H4" s="20">
        <v>1</v>
      </c>
      <c r="I4" s="8" t="str">
        <f t="shared" si="0"/>
        <v>0x01</v>
      </c>
      <c r="J4" s="108" t="s">
        <v>24</v>
      </c>
      <c r="K4" s="108"/>
      <c r="L4" s="108"/>
      <c r="M4" s="108"/>
      <c r="N4" s="108"/>
      <c r="O4" s="108"/>
      <c r="P4" s="108"/>
      <c r="Q4" s="108"/>
      <c r="R4" s="9"/>
      <c r="S4" s="108" t="s">
        <v>27</v>
      </c>
      <c r="T4" s="108"/>
      <c r="U4" s="108"/>
      <c r="V4" s="108"/>
      <c r="W4" s="108"/>
      <c r="X4" s="108" t="s">
        <v>26</v>
      </c>
      <c r="Y4" s="108"/>
      <c r="Z4" s="108"/>
      <c r="AA4" s="108"/>
      <c r="AB4" s="108" t="s">
        <v>25</v>
      </c>
      <c r="AC4" s="108"/>
      <c r="AD4" s="108"/>
      <c r="AE4" s="108"/>
      <c r="AF4" s="108"/>
      <c r="AG4" s="108"/>
    </row>
    <row r="5" spans="6:34" x14ac:dyDescent="0.2">
      <c r="F5" s="6" t="s">
        <v>38</v>
      </c>
      <c r="G5" s="7" t="s">
        <v>28</v>
      </c>
      <c r="H5" s="20">
        <v>2</v>
      </c>
      <c r="I5" s="8" t="str">
        <f t="shared" si="0"/>
        <v>0x02</v>
      </c>
      <c r="J5" s="9">
        <v>0</v>
      </c>
      <c r="K5" s="9">
        <v>0</v>
      </c>
      <c r="L5" s="9">
        <v>0</v>
      </c>
      <c r="M5" s="9">
        <v>0</v>
      </c>
      <c r="N5" s="106" t="s">
        <v>39</v>
      </c>
      <c r="O5" s="125"/>
      <c r="P5" s="125"/>
      <c r="Q5" s="125"/>
      <c r="R5" s="125"/>
      <c r="S5" s="125"/>
      <c r="T5" s="125"/>
      <c r="U5" s="125"/>
      <c r="V5" s="125"/>
      <c r="W5" s="125"/>
      <c r="X5" s="125"/>
      <c r="Y5" s="125"/>
      <c r="Z5" s="125"/>
      <c r="AA5" s="125"/>
      <c r="AB5" s="125"/>
      <c r="AC5" s="125"/>
      <c r="AD5" s="125"/>
      <c r="AE5" s="125"/>
      <c r="AF5" s="125"/>
      <c r="AG5" s="126"/>
    </row>
    <row r="6" spans="6:34" x14ac:dyDescent="0.2">
      <c r="F6" s="6" t="s">
        <v>29</v>
      </c>
      <c r="G6" s="7" t="s">
        <v>9</v>
      </c>
      <c r="H6" s="20">
        <v>3</v>
      </c>
      <c r="I6" s="8" t="str">
        <f t="shared" si="0"/>
        <v>0x03</v>
      </c>
      <c r="J6" s="108" t="s">
        <v>30</v>
      </c>
      <c r="K6" s="108"/>
      <c r="L6" s="108"/>
      <c r="M6" s="108"/>
      <c r="N6" s="108"/>
      <c r="O6" s="108"/>
      <c r="P6" s="108"/>
      <c r="Q6" s="108"/>
      <c r="R6" s="108"/>
      <c r="S6" s="108"/>
      <c r="T6" s="108"/>
      <c r="U6" s="108"/>
      <c r="V6" s="108"/>
      <c r="W6" s="108"/>
      <c r="X6" s="108"/>
      <c r="Y6" s="108"/>
      <c r="Z6" s="108"/>
      <c r="AA6" s="108"/>
      <c r="AB6" s="108"/>
      <c r="AC6" s="108"/>
      <c r="AD6" s="108"/>
      <c r="AE6" s="108"/>
      <c r="AF6" s="108"/>
      <c r="AG6" s="108"/>
    </row>
    <row r="7" spans="6:34" x14ac:dyDescent="0.2">
      <c r="F7" s="9" t="s">
        <v>83</v>
      </c>
      <c r="G7" s="56" t="s">
        <v>9</v>
      </c>
      <c r="H7" s="57">
        <v>4</v>
      </c>
      <c r="I7" s="58"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x14ac:dyDescent="0.2">
      <c r="F8" s="9" t="s">
        <v>83</v>
      </c>
      <c r="G8" s="56" t="s">
        <v>9</v>
      </c>
      <c r="H8" s="57">
        <v>5</v>
      </c>
      <c r="I8" s="58"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x14ac:dyDescent="0.2">
      <c r="F9" s="6" t="s">
        <v>22</v>
      </c>
      <c r="G9" s="7" t="s">
        <v>9</v>
      </c>
      <c r="H9" s="20">
        <v>6</v>
      </c>
      <c r="I9" s="8" t="str">
        <f t="shared" si="0"/>
        <v>0x06</v>
      </c>
      <c r="J9" s="9">
        <v>0</v>
      </c>
      <c r="K9" s="9">
        <v>0</v>
      </c>
      <c r="L9" s="9">
        <v>0</v>
      </c>
      <c r="M9" s="9">
        <v>0</v>
      </c>
      <c r="N9" s="137" t="s">
        <v>147</v>
      </c>
      <c r="O9" s="138"/>
      <c r="P9" s="138"/>
      <c r="Q9" s="138"/>
      <c r="R9" s="138"/>
      <c r="S9" s="138"/>
      <c r="T9" s="138"/>
      <c r="U9" s="138"/>
      <c r="V9" s="138"/>
      <c r="W9" s="138"/>
      <c r="X9" s="138"/>
      <c r="Y9" s="139"/>
      <c r="Z9" s="137" t="s">
        <v>146</v>
      </c>
      <c r="AA9" s="138"/>
      <c r="AB9" s="138"/>
      <c r="AC9" s="138"/>
      <c r="AD9" s="138"/>
      <c r="AE9" s="139"/>
      <c r="AF9" s="106" t="s">
        <v>5</v>
      </c>
      <c r="AG9" s="107"/>
      <c r="AH9" t="s">
        <v>154</v>
      </c>
    </row>
    <row r="10" spans="6:34" ht="47.25" customHeight="1" thickBot="1" x14ac:dyDescent="0.25">
      <c r="F10" s="21" t="s">
        <v>21</v>
      </c>
      <c r="G10" s="22" t="s">
        <v>9</v>
      </c>
      <c r="H10" s="23">
        <v>7</v>
      </c>
      <c r="I10" s="24" t="str">
        <f t="shared" si="0"/>
        <v>0x07</v>
      </c>
      <c r="J10" s="61">
        <v>0</v>
      </c>
      <c r="K10" s="61">
        <v>0</v>
      </c>
      <c r="L10" s="61">
        <v>0</v>
      </c>
      <c r="M10" s="61">
        <v>0</v>
      </c>
      <c r="N10" s="61">
        <v>0</v>
      </c>
      <c r="O10" s="61">
        <v>0</v>
      </c>
      <c r="P10" s="15" t="s">
        <v>141</v>
      </c>
      <c r="Q10" s="15" t="s">
        <v>134</v>
      </c>
      <c r="R10" s="140" t="s">
        <v>194</v>
      </c>
      <c r="S10" s="141"/>
      <c r="T10" s="141"/>
      <c r="U10" s="141"/>
      <c r="V10" s="141"/>
      <c r="W10" s="142"/>
      <c r="X10" s="140" t="s">
        <v>193</v>
      </c>
      <c r="Y10" s="141"/>
      <c r="Z10" s="141"/>
      <c r="AA10" s="141"/>
      <c r="AB10" s="141"/>
      <c r="AC10" s="141"/>
      <c r="AD10" s="141"/>
      <c r="AE10" s="141"/>
      <c r="AF10" s="141"/>
      <c r="AG10" s="142"/>
      <c r="AH10" t="s">
        <v>155</v>
      </c>
    </row>
    <row r="11" spans="6:34" x14ac:dyDescent="0.2">
      <c r="F11" s="25" t="s">
        <v>43</v>
      </c>
      <c r="G11" s="26" t="s">
        <v>9</v>
      </c>
      <c r="H11" s="27">
        <v>8</v>
      </c>
      <c r="I11" s="28" t="str">
        <f t="shared" si="0"/>
        <v>0x08</v>
      </c>
      <c r="J11" s="127" t="s">
        <v>126</v>
      </c>
      <c r="K11" s="128"/>
      <c r="L11" s="128"/>
      <c r="M11" s="128"/>
      <c r="N11" s="128"/>
      <c r="O11" s="128"/>
      <c r="P11" s="129"/>
      <c r="Q11" s="129"/>
      <c r="R11" s="129"/>
      <c r="S11" s="129"/>
      <c r="T11" s="129"/>
      <c r="U11" s="129"/>
      <c r="V11" s="129"/>
      <c r="W11" s="129"/>
      <c r="X11" s="129"/>
      <c r="Y11" s="129"/>
      <c r="Z11" s="129"/>
      <c r="AA11" s="129"/>
      <c r="AB11" s="129"/>
      <c r="AC11" s="129"/>
      <c r="AD11" s="129"/>
      <c r="AE11" s="129"/>
      <c r="AF11" s="129"/>
      <c r="AG11" s="130"/>
      <c r="AH11" t="s">
        <v>158</v>
      </c>
    </row>
    <row r="12" spans="6:34" ht="15" x14ac:dyDescent="0.2">
      <c r="F12" s="109" t="s">
        <v>44</v>
      </c>
      <c r="G12" s="110"/>
      <c r="H12" s="110"/>
      <c r="I12" s="111"/>
      <c r="J12" s="131"/>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3"/>
    </row>
    <row r="13" spans="6:34" ht="15" thickBot="1" x14ac:dyDescent="0.25">
      <c r="F13" s="29" t="s">
        <v>118</v>
      </c>
      <c r="G13" s="30" t="s">
        <v>9</v>
      </c>
      <c r="H13" s="31">
        <v>11</v>
      </c>
      <c r="I13" s="32" t="str">
        <f>"0x" &amp; DEC2HEX(H13,2)</f>
        <v>0x0B</v>
      </c>
      <c r="J13" s="134"/>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6"/>
    </row>
    <row r="14" spans="6:34" x14ac:dyDescent="0.2">
      <c r="F14" s="33" t="s">
        <v>45</v>
      </c>
      <c r="G14" s="34" t="s">
        <v>9</v>
      </c>
      <c r="H14" s="35">
        <v>12</v>
      </c>
      <c r="I14" s="36" t="str">
        <f>"0x" &amp; DEC2HEX(H14,2)</f>
        <v>0x0C</v>
      </c>
      <c r="J14" s="112" t="s">
        <v>127</v>
      </c>
      <c r="K14" s="113"/>
      <c r="L14" s="113"/>
      <c r="M14" s="113"/>
      <c r="N14" s="113"/>
      <c r="O14" s="113"/>
      <c r="P14" s="114"/>
      <c r="Q14" s="114"/>
      <c r="R14" s="114"/>
      <c r="S14" s="114"/>
      <c r="T14" s="114"/>
      <c r="U14" s="114"/>
      <c r="V14" s="114"/>
      <c r="W14" s="114"/>
      <c r="X14" s="114"/>
      <c r="Y14" s="114"/>
      <c r="Z14" s="114"/>
      <c r="AA14" s="114"/>
      <c r="AB14" s="114"/>
      <c r="AC14" s="114"/>
      <c r="AD14" s="114"/>
      <c r="AE14" s="114"/>
      <c r="AF14" s="114"/>
      <c r="AG14" s="115"/>
    </row>
    <row r="15" spans="6:34" ht="15" x14ac:dyDescent="0.2">
      <c r="F15" s="122" t="s">
        <v>44</v>
      </c>
      <c r="G15" s="123"/>
      <c r="H15" s="123"/>
      <c r="I15" s="124"/>
      <c r="J15" s="116"/>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8"/>
    </row>
    <row r="16" spans="6:34" ht="15" thickBot="1" x14ac:dyDescent="0.25">
      <c r="F16" s="37" t="s">
        <v>119</v>
      </c>
      <c r="G16" s="38" t="s">
        <v>9</v>
      </c>
      <c r="H16" s="39">
        <v>15</v>
      </c>
      <c r="I16" s="40" t="str">
        <f>"0x" &amp; DEC2HEX(H16,2)</f>
        <v>0x0F</v>
      </c>
      <c r="J16" s="119"/>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row>
    <row r="17" spans="6:33" x14ac:dyDescent="0.2">
      <c r="F17" s="25" t="s">
        <v>46</v>
      </c>
      <c r="G17" s="26" t="s">
        <v>9</v>
      </c>
      <c r="H17" s="27">
        <v>16</v>
      </c>
      <c r="I17" s="28" t="str">
        <f>"0x" &amp; DEC2HEX(H17,2)</f>
        <v>0x10</v>
      </c>
      <c r="J17" s="127" t="s">
        <v>128</v>
      </c>
      <c r="K17" s="128"/>
      <c r="L17" s="128"/>
      <c r="M17" s="128"/>
      <c r="N17" s="128"/>
      <c r="O17" s="128"/>
      <c r="P17" s="129"/>
      <c r="Q17" s="129"/>
      <c r="R17" s="129"/>
      <c r="S17" s="129"/>
      <c r="T17" s="129"/>
      <c r="U17" s="129"/>
      <c r="V17" s="129"/>
      <c r="W17" s="129"/>
      <c r="X17" s="129"/>
      <c r="Y17" s="129"/>
      <c r="Z17" s="129"/>
      <c r="AA17" s="129"/>
      <c r="AB17" s="129"/>
      <c r="AC17" s="129"/>
      <c r="AD17" s="129"/>
      <c r="AE17" s="129"/>
      <c r="AF17" s="129"/>
      <c r="AG17" s="130"/>
    </row>
    <row r="18" spans="6:33" ht="15" x14ac:dyDescent="0.2">
      <c r="F18" s="109" t="s">
        <v>44</v>
      </c>
      <c r="G18" s="110"/>
      <c r="H18" s="110"/>
      <c r="I18" s="111"/>
      <c r="J18" s="131"/>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3"/>
    </row>
    <row r="19" spans="6:33" ht="15" thickBot="1" x14ac:dyDescent="0.25">
      <c r="F19" s="29" t="s">
        <v>120</v>
      </c>
      <c r="G19" s="30" t="s">
        <v>9</v>
      </c>
      <c r="H19" s="31">
        <v>19</v>
      </c>
      <c r="I19" s="32" t="str">
        <f>"0x" &amp; DEC2HEX(H19,2)</f>
        <v>0x13</v>
      </c>
      <c r="J19" s="134"/>
      <c r="K19" s="135"/>
      <c r="L19" s="135"/>
      <c r="M19" s="135"/>
      <c r="N19" s="135"/>
      <c r="O19" s="135"/>
      <c r="P19" s="135"/>
      <c r="Q19" s="135"/>
      <c r="R19" s="135"/>
      <c r="S19" s="135"/>
      <c r="T19" s="135"/>
      <c r="U19" s="135"/>
      <c r="V19" s="135"/>
      <c r="W19" s="135"/>
      <c r="X19" s="135"/>
      <c r="Y19" s="135"/>
      <c r="Z19" s="135"/>
      <c r="AA19" s="135"/>
      <c r="AB19" s="135"/>
      <c r="AC19" s="135"/>
      <c r="AD19" s="135"/>
      <c r="AE19" s="135"/>
      <c r="AF19" s="135"/>
      <c r="AG19" s="136"/>
    </row>
    <row r="20" spans="6:33" x14ac:dyDescent="0.2">
      <c r="F20" s="33" t="s">
        <v>47</v>
      </c>
      <c r="G20" s="34" t="s">
        <v>9</v>
      </c>
      <c r="H20" s="35">
        <v>20</v>
      </c>
      <c r="I20" s="36" t="str">
        <f>"0x" &amp; DEC2HEX(H20,2)</f>
        <v>0x14</v>
      </c>
      <c r="J20" s="112" t="s">
        <v>129</v>
      </c>
      <c r="K20" s="113"/>
      <c r="L20" s="113"/>
      <c r="M20" s="113"/>
      <c r="N20" s="113"/>
      <c r="O20" s="113"/>
      <c r="P20" s="114"/>
      <c r="Q20" s="114"/>
      <c r="R20" s="114"/>
      <c r="S20" s="114"/>
      <c r="T20" s="114"/>
      <c r="U20" s="114"/>
      <c r="V20" s="114"/>
      <c r="W20" s="114"/>
      <c r="X20" s="114"/>
      <c r="Y20" s="114"/>
      <c r="Z20" s="114"/>
      <c r="AA20" s="114"/>
      <c r="AB20" s="114"/>
      <c r="AC20" s="114"/>
      <c r="AD20" s="114"/>
      <c r="AE20" s="114"/>
      <c r="AF20" s="114"/>
      <c r="AG20" s="115"/>
    </row>
    <row r="21" spans="6:33" ht="15" x14ac:dyDescent="0.2">
      <c r="F21" s="122" t="s">
        <v>44</v>
      </c>
      <c r="G21" s="123"/>
      <c r="H21" s="123"/>
      <c r="I21" s="124"/>
      <c r="J21" s="116"/>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8"/>
    </row>
    <row r="22" spans="6:33" ht="15" thickBot="1" x14ac:dyDescent="0.25">
      <c r="F22" s="37" t="s">
        <v>121</v>
      </c>
      <c r="G22" s="38" t="s">
        <v>9</v>
      </c>
      <c r="H22" s="39">
        <v>23</v>
      </c>
      <c r="I22" s="40" t="str">
        <f>"0x" &amp; DEC2HEX(H22,2)</f>
        <v>0x17</v>
      </c>
      <c r="J22" s="119"/>
      <c r="K22" s="120"/>
      <c r="L22" s="120"/>
      <c r="M22" s="120"/>
      <c r="N22" s="120"/>
      <c r="O22" s="120"/>
      <c r="P22" s="120"/>
      <c r="Q22" s="120"/>
      <c r="R22" s="120"/>
      <c r="S22" s="120"/>
      <c r="T22" s="120"/>
      <c r="U22" s="120"/>
      <c r="V22" s="120"/>
      <c r="W22" s="120"/>
      <c r="X22" s="120"/>
      <c r="Y22" s="120"/>
      <c r="Z22" s="120"/>
      <c r="AA22" s="120"/>
      <c r="AB22" s="120"/>
      <c r="AC22" s="120"/>
      <c r="AD22" s="120"/>
      <c r="AE22" s="120"/>
      <c r="AF22" s="120"/>
      <c r="AG22" s="121"/>
    </row>
    <row r="23" spans="6:33" x14ac:dyDescent="0.2">
      <c r="F23" s="25" t="s">
        <v>48</v>
      </c>
      <c r="G23" s="26" t="s">
        <v>9</v>
      </c>
      <c r="H23" s="27">
        <v>24</v>
      </c>
      <c r="I23" s="28" t="str">
        <f>"0x" &amp; DEC2HEX(H23,2)</f>
        <v>0x18</v>
      </c>
      <c r="J23" s="127" t="s">
        <v>130</v>
      </c>
      <c r="K23" s="128"/>
      <c r="L23" s="128"/>
      <c r="M23" s="128"/>
      <c r="N23" s="128"/>
      <c r="O23" s="128"/>
      <c r="P23" s="129"/>
      <c r="Q23" s="129"/>
      <c r="R23" s="129"/>
      <c r="S23" s="129"/>
      <c r="T23" s="129"/>
      <c r="U23" s="129"/>
      <c r="V23" s="129"/>
      <c r="W23" s="129"/>
      <c r="X23" s="129"/>
      <c r="Y23" s="129"/>
      <c r="Z23" s="129"/>
      <c r="AA23" s="129"/>
      <c r="AB23" s="129"/>
      <c r="AC23" s="129"/>
      <c r="AD23" s="129"/>
      <c r="AE23" s="129"/>
      <c r="AF23" s="129"/>
      <c r="AG23" s="130"/>
    </row>
    <row r="24" spans="6:33" ht="15" x14ac:dyDescent="0.2">
      <c r="F24" s="109" t="s">
        <v>44</v>
      </c>
      <c r="G24" s="110"/>
      <c r="H24" s="110"/>
      <c r="I24" s="111"/>
      <c r="J24" s="131"/>
      <c r="K24" s="132"/>
      <c r="L24" s="132"/>
      <c r="M24" s="132"/>
      <c r="N24" s="132"/>
      <c r="O24" s="132"/>
      <c r="P24" s="132"/>
      <c r="Q24" s="132"/>
      <c r="R24" s="132"/>
      <c r="S24" s="132"/>
      <c r="T24" s="132"/>
      <c r="U24" s="132"/>
      <c r="V24" s="132"/>
      <c r="W24" s="132"/>
      <c r="X24" s="132"/>
      <c r="Y24" s="132"/>
      <c r="Z24" s="132"/>
      <c r="AA24" s="132"/>
      <c r="AB24" s="132"/>
      <c r="AC24" s="132"/>
      <c r="AD24" s="132"/>
      <c r="AE24" s="132"/>
      <c r="AF24" s="132"/>
      <c r="AG24" s="133"/>
    </row>
    <row r="25" spans="6:33" ht="15" thickBot="1" x14ac:dyDescent="0.25">
      <c r="F25" s="29" t="s">
        <v>122</v>
      </c>
      <c r="G25" s="30" t="s">
        <v>9</v>
      </c>
      <c r="H25" s="31">
        <v>27</v>
      </c>
      <c r="I25" s="32" t="str">
        <f>"0x" &amp; DEC2HEX(H25,2)</f>
        <v>0x1B</v>
      </c>
      <c r="J25" s="134"/>
      <c r="K25" s="135"/>
      <c r="L25" s="135"/>
      <c r="M25" s="135"/>
      <c r="N25" s="135"/>
      <c r="O25" s="135"/>
      <c r="P25" s="135"/>
      <c r="Q25" s="135"/>
      <c r="R25" s="135"/>
      <c r="S25" s="135"/>
      <c r="T25" s="135"/>
      <c r="U25" s="135"/>
      <c r="V25" s="135"/>
      <c r="W25" s="135"/>
      <c r="X25" s="135"/>
      <c r="Y25" s="135"/>
      <c r="Z25" s="135"/>
      <c r="AA25" s="135"/>
      <c r="AB25" s="135"/>
      <c r="AC25" s="135"/>
      <c r="AD25" s="135"/>
      <c r="AE25" s="135"/>
      <c r="AF25" s="135"/>
      <c r="AG25" s="136"/>
    </row>
    <row r="26" spans="6:33" x14ac:dyDescent="0.2">
      <c r="F26" s="33" t="s">
        <v>49</v>
      </c>
      <c r="G26" s="34" t="s">
        <v>9</v>
      </c>
      <c r="H26" s="35">
        <v>28</v>
      </c>
      <c r="I26" s="36" t="str">
        <f>"0x" &amp; DEC2HEX(H26,2)</f>
        <v>0x1C</v>
      </c>
      <c r="J26" s="112" t="s">
        <v>131</v>
      </c>
      <c r="K26" s="113"/>
      <c r="L26" s="113"/>
      <c r="M26" s="113"/>
      <c r="N26" s="113"/>
      <c r="O26" s="113"/>
      <c r="P26" s="114"/>
      <c r="Q26" s="114"/>
      <c r="R26" s="114"/>
      <c r="S26" s="114"/>
      <c r="T26" s="114"/>
      <c r="U26" s="114"/>
      <c r="V26" s="114"/>
      <c r="W26" s="114"/>
      <c r="X26" s="114"/>
      <c r="Y26" s="114"/>
      <c r="Z26" s="114"/>
      <c r="AA26" s="114"/>
      <c r="AB26" s="114"/>
      <c r="AC26" s="114"/>
      <c r="AD26" s="114"/>
      <c r="AE26" s="114"/>
      <c r="AF26" s="114"/>
      <c r="AG26" s="115"/>
    </row>
    <row r="27" spans="6:33" ht="15" x14ac:dyDescent="0.2">
      <c r="F27" s="122" t="s">
        <v>44</v>
      </c>
      <c r="G27" s="123"/>
      <c r="H27" s="123"/>
      <c r="I27" s="124"/>
      <c r="J27" s="116"/>
      <c r="K27" s="117"/>
      <c r="L27" s="117"/>
      <c r="M27" s="117"/>
      <c r="N27" s="117"/>
      <c r="O27" s="117"/>
      <c r="P27" s="117"/>
      <c r="Q27" s="117"/>
      <c r="R27" s="117"/>
      <c r="S27" s="117"/>
      <c r="T27" s="117"/>
      <c r="U27" s="117"/>
      <c r="V27" s="117"/>
      <c r="W27" s="117"/>
      <c r="X27" s="117"/>
      <c r="Y27" s="117"/>
      <c r="Z27" s="117"/>
      <c r="AA27" s="117"/>
      <c r="AB27" s="117"/>
      <c r="AC27" s="117"/>
      <c r="AD27" s="117"/>
      <c r="AE27" s="117"/>
      <c r="AF27" s="117"/>
      <c r="AG27" s="118"/>
    </row>
    <row r="28" spans="6:33" ht="15" thickBot="1" x14ac:dyDescent="0.25">
      <c r="F28" s="37" t="s">
        <v>123</v>
      </c>
      <c r="G28" s="38" t="s">
        <v>9</v>
      </c>
      <c r="H28" s="39">
        <v>31</v>
      </c>
      <c r="I28" s="40" t="str">
        <f>"0x" &amp; DEC2HEX(H28,2)</f>
        <v>0x1F</v>
      </c>
      <c r="J28" s="119"/>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1"/>
    </row>
    <row r="29" spans="6:33" x14ac:dyDescent="0.2">
      <c r="F29" s="25" t="s">
        <v>51</v>
      </c>
      <c r="G29" s="26" t="s">
        <v>9</v>
      </c>
      <c r="H29" s="27">
        <v>32</v>
      </c>
      <c r="I29" s="28" t="str">
        <f>"0x" &amp; DEC2HEX(H29,2)</f>
        <v>0x20</v>
      </c>
      <c r="J29" s="127" t="s">
        <v>132</v>
      </c>
      <c r="K29" s="128"/>
      <c r="L29" s="128"/>
      <c r="M29" s="128"/>
      <c r="N29" s="128"/>
      <c r="O29" s="128"/>
      <c r="P29" s="129"/>
      <c r="Q29" s="129"/>
      <c r="R29" s="129"/>
      <c r="S29" s="129"/>
      <c r="T29" s="129"/>
      <c r="U29" s="129"/>
      <c r="V29" s="129"/>
      <c r="W29" s="129"/>
      <c r="X29" s="129"/>
      <c r="Y29" s="129"/>
      <c r="Z29" s="129"/>
      <c r="AA29" s="129"/>
      <c r="AB29" s="129"/>
      <c r="AC29" s="129"/>
      <c r="AD29" s="129"/>
      <c r="AE29" s="129"/>
      <c r="AF29" s="129"/>
      <c r="AG29" s="130"/>
    </row>
    <row r="30" spans="6:33" ht="15" x14ac:dyDescent="0.2">
      <c r="F30" s="109" t="s">
        <v>44</v>
      </c>
      <c r="G30" s="110"/>
      <c r="H30" s="110"/>
      <c r="I30" s="111"/>
      <c r="J30" s="131"/>
      <c r="K30" s="132"/>
      <c r="L30" s="132"/>
      <c r="M30" s="132"/>
      <c r="N30" s="132"/>
      <c r="O30" s="132"/>
      <c r="P30" s="132"/>
      <c r="Q30" s="132"/>
      <c r="R30" s="132"/>
      <c r="S30" s="132"/>
      <c r="T30" s="132"/>
      <c r="U30" s="132"/>
      <c r="V30" s="132"/>
      <c r="W30" s="132"/>
      <c r="X30" s="132"/>
      <c r="Y30" s="132"/>
      <c r="Z30" s="132"/>
      <c r="AA30" s="132"/>
      <c r="AB30" s="132"/>
      <c r="AC30" s="132"/>
      <c r="AD30" s="132"/>
      <c r="AE30" s="132"/>
      <c r="AF30" s="132"/>
      <c r="AG30" s="133"/>
    </row>
    <row r="31" spans="6:33" ht="15" thickBot="1" x14ac:dyDescent="0.25">
      <c r="F31" s="29" t="s">
        <v>124</v>
      </c>
      <c r="G31" s="30" t="s">
        <v>9</v>
      </c>
      <c r="H31" s="31">
        <v>35</v>
      </c>
      <c r="I31" s="32" t="str">
        <f>"0x" &amp; DEC2HEX(H31,2)</f>
        <v>0x23</v>
      </c>
      <c r="J31" s="134"/>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6"/>
    </row>
    <row r="32" spans="6:33" x14ac:dyDescent="0.2">
      <c r="F32" s="33" t="s">
        <v>52</v>
      </c>
      <c r="G32" s="34" t="s">
        <v>9</v>
      </c>
      <c r="H32" s="35">
        <v>36</v>
      </c>
      <c r="I32" s="36" t="str">
        <f>"0x" &amp; DEC2HEX(H32,2)</f>
        <v>0x24</v>
      </c>
      <c r="J32" s="112" t="s">
        <v>133</v>
      </c>
      <c r="K32" s="113"/>
      <c r="L32" s="113"/>
      <c r="M32" s="113"/>
      <c r="N32" s="113"/>
      <c r="O32" s="113"/>
      <c r="P32" s="114"/>
      <c r="Q32" s="114"/>
      <c r="R32" s="114"/>
      <c r="S32" s="114"/>
      <c r="T32" s="114"/>
      <c r="U32" s="114"/>
      <c r="V32" s="114"/>
      <c r="W32" s="114"/>
      <c r="X32" s="114"/>
      <c r="Y32" s="114"/>
      <c r="Z32" s="114"/>
      <c r="AA32" s="114"/>
      <c r="AB32" s="114"/>
      <c r="AC32" s="114"/>
      <c r="AD32" s="114"/>
      <c r="AE32" s="114"/>
      <c r="AF32" s="114"/>
      <c r="AG32" s="115"/>
    </row>
    <row r="33" spans="5:34" ht="15" x14ac:dyDescent="0.2">
      <c r="F33" s="122" t="s">
        <v>44</v>
      </c>
      <c r="G33" s="123"/>
      <c r="H33" s="123"/>
      <c r="I33" s="124"/>
      <c r="J33" s="116"/>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118"/>
    </row>
    <row r="34" spans="5:34" ht="15" thickBot="1" x14ac:dyDescent="0.25">
      <c r="F34" s="37" t="s">
        <v>125</v>
      </c>
      <c r="G34" s="38" t="s">
        <v>9</v>
      </c>
      <c r="H34" s="39">
        <v>39</v>
      </c>
      <c r="I34" s="40" t="str">
        <f>"0x" &amp; DEC2HEX(H34,2)</f>
        <v>0x27</v>
      </c>
      <c r="J34" s="119"/>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1"/>
    </row>
    <row r="35" spans="5:34" x14ac:dyDescent="0.2">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43" t="s">
        <v>33</v>
      </c>
      <c r="AA35" s="144"/>
      <c r="AB35" s="144"/>
      <c r="AC35" s="144"/>
      <c r="AD35" s="144"/>
      <c r="AE35" s="144"/>
      <c r="AF35" s="144"/>
      <c r="AG35" s="145"/>
      <c r="AH35" t="s">
        <v>157</v>
      </c>
    </row>
    <row r="36" spans="5:34" x14ac:dyDescent="0.2">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157</v>
      </c>
    </row>
    <row r="37" spans="5:34" ht="15" x14ac:dyDescent="0.2">
      <c r="E37" s="3"/>
    </row>
    <row r="38" spans="5:34" ht="15" x14ac:dyDescent="0.2">
      <c r="E38" s="3"/>
    </row>
    <row r="39" spans="5:34" ht="15" x14ac:dyDescent="0.2">
      <c r="E39" s="3"/>
    </row>
  </sheetData>
  <mergeCells count="31">
    <mergeCell ref="J29:AG31"/>
    <mergeCell ref="F30:I30"/>
    <mergeCell ref="J32:AG34"/>
    <mergeCell ref="F33:I33"/>
    <mergeCell ref="Z35:AG35"/>
    <mergeCell ref="F21:I21"/>
    <mergeCell ref="J23:AG25"/>
    <mergeCell ref="F24:I24"/>
    <mergeCell ref="J26:AG28"/>
    <mergeCell ref="F27:I27"/>
    <mergeCell ref="J20:AG22"/>
    <mergeCell ref="F12:I12"/>
    <mergeCell ref="J14:AG16"/>
    <mergeCell ref="F15:I15"/>
    <mergeCell ref="N5:AG5"/>
    <mergeCell ref="J17:AG19"/>
    <mergeCell ref="F18:I18"/>
    <mergeCell ref="J11:AG13"/>
    <mergeCell ref="Z9:AE9"/>
    <mergeCell ref="N9:Y9"/>
    <mergeCell ref="X10:AG10"/>
    <mergeCell ref="R10:W10"/>
    <mergeCell ref="J2:AG2"/>
    <mergeCell ref="AF9:AG9"/>
    <mergeCell ref="J3:Q3"/>
    <mergeCell ref="S3:T3"/>
    <mergeCell ref="J4:Q4"/>
    <mergeCell ref="S4:W4"/>
    <mergeCell ref="X4:AA4"/>
    <mergeCell ref="AB4:AG4"/>
    <mergeCell ref="J6:AG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M28"/>
  <sheetViews>
    <sheetView topLeftCell="F1" zoomScale="70" zoomScaleNormal="70" workbookViewId="0">
      <selection activeCell="AL21" sqref="AL21"/>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 min="39" max="39" width="21" customWidth="1"/>
  </cols>
  <sheetData>
    <row r="1" spans="5:38"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x14ac:dyDescent="0.2">
      <c r="F2" s="4" t="s">
        <v>40</v>
      </c>
      <c r="G2" s="5" t="s">
        <v>9</v>
      </c>
      <c r="H2" s="18"/>
      <c r="I2" s="4" t="s">
        <v>6</v>
      </c>
      <c r="J2" s="105" t="s">
        <v>7</v>
      </c>
      <c r="K2" s="105"/>
      <c r="L2" s="105"/>
      <c r="M2" s="105"/>
      <c r="N2" s="105"/>
      <c r="O2" s="105"/>
      <c r="P2" s="105"/>
      <c r="Q2" s="105"/>
      <c r="R2" s="105"/>
      <c r="S2" s="105"/>
      <c r="T2" s="105"/>
      <c r="U2" s="105"/>
      <c r="V2" s="105"/>
      <c r="W2" s="105"/>
      <c r="X2" s="105"/>
      <c r="Y2" s="105"/>
      <c r="Z2" s="105"/>
      <c r="AA2" s="105"/>
      <c r="AB2" s="105"/>
      <c r="AC2" s="105"/>
      <c r="AD2" s="105"/>
      <c r="AE2" s="105"/>
      <c r="AF2" s="105"/>
      <c r="AG2" s="105"/>
    </row>
    <row r="3" spans="5:38" ht="76.5" customHeight="1" x14ac:dyDescent="0.2">
      <c r="E3" s="3"/>
      <c r="F3" s="6" t="s">
        <v>10</v>
      </c>
      <c r="G3" s="7" t="s">
        <v>28</v>
      </c>
      <c r="H3" s="20">
        <v>0</v>
      </c>
      <c r="I3" s="8" t="str">
        <f t="shared" ref="I3" si="0">"0x" &amp; DEC2HEX(H3,2)</f>
        <v>0x00</v>
      </c>
      <c r="J3" s="108" t="s">
        <v>23</v>
      </c>
      <c r="K3" s="108"/>
      <c r="L3" s="108"/>
      <c r="M3" s="108"/>
      <c r="N3" s="108"/>
      <c r="O3" s="108"/>
      <c r="P3" s="108"/>
      <c r="Q3" s="108"/>
      <c r="R3" s="15" t="s">
        <v>152</v>
      </c>
      <c r="S3" s="108" t="s">
        <v>50</v>
      </c>
      <c r="T3" s="108"/>
      <c r="U3" s="15" t="s">
        <v>36</v>
      </c>
      <c r="V3" s="89" t="s">
        <v>311</v>
      </c>
      <c r="W3" s="15" t="s">
        <v>53</v>
      </c>
      <c r="X3" s="15" t="s">
        <v>20</v>
      </c>
      <c r="Y3" s="15" t="s">
        <v>19</v>
      </c>
      <c r="Z3" s="15" t="s">
        <v>18</v>
      </c>
      <c r="AA3" s="15" t="s">
        <v>17</v>
      </c>
      <c r="AB3" s="15" t="s">
        <v>16</v>
      </c>
      <c r="AC3" s="15" t="s">
        <v>15</v>
      </c>
      <c r="AD3" s="15" t="s">
        <v>14</v>
      </c>
      <c r="AE3" s="15" t="s">
        <v>13</v>
      </c>
      <c r="AF3" s="15" t="s">
        <v>12</v>
      </c>
      <c r="AG3" s="15" t="s">
        <v>11</v>
      </c>
    </row>
    <row r="4" spans="5:38" ht="15" x14ac:dyDescent="0.2">
      <c r="E4" s="3"/>
    </row>
    <row r="5" spans="5:38" ht="30" customHeight="1" thickBot="1" x14ac:dyDescent="0.25"/>
    <row r="6" spans="5:38" ht="27" customHeight="1" thickBot="1" x14ac:dyDescent="0.25">
      <c r="AI6" s="63" t="s">
        <v>195</v>
      </c>
      <c r="AJ6" s="74" t="s">
        <v>196</v>
      </c>
      <c r="AK6" s="64" t="s">
        <v>72</v>
      </c>
      <c r="AL6" s="65" t="s">
        <v>197</v>
      </c>
    </row>
    <row r="7" spans="5:38" ht="15.75" thickBot="1" x14ac:dyDescent="0.25">
      <c r="AI7" s="66" t="s">
        <v>9</v>
      </c>
      <c r="AJ7" s="75">
        <v>31</v>
      </c>
      <c r="AK7" s="67" t="s">
        <v>198</v>
      </c>
      <c r="AL7" s="68" t="s">
        <v>199</v>
      </c>
    </row>
    <row r="8" spans="5:38" ht="15.75" thickBot="1" x14ac:dyDescent="0.25">
      <c r="AI8" s="69" t="s">
        <v>200</v>
      </c>
      <c r="AJ8" s="76" t="s">
        <v>227</v>
      </c>
      <c r="AK8" s="70" t="s">
        <v>201</v>
      </c>
      <c r="AL8" s="71" t="s">
        <v>55</v>
      </c>
    </row>
    <row r="9" spans="5:38" x14ac:dyDescent="0.2">
      <c r="AI9" s="146" t="s">
        <v>23</v>
      </c>
      <c r="AJ9" s="148" t="s">
        <v>228</v>
      </c>
      <c r="AK9" s="150" t="s">
        <v>202</v>
      </c>
      <c r="AL9" s="72" t="s">
        <v>203</v>
      </c>
    </row>
    <row r="10" spans="5:38" ht="15" thickBot="1" x14ac:dyDescent="0.25">
      <c r="AI10" s="147"/>
      <c r="AJ10" s="149"/>
      <c r="AK10" s="151"/>
      <c r="AL10" s="68" t="s">
        <v>204</v>
      </c>
    </row>
    <row r="11" spans="5:38" x14ac:dyDescent="0.2">
      <c r="AI11" s="152" t="s">
        <v>152</v>
      </c>
      <c r="AJ11" s="154">
        <v>15</v>
      </c>
      <c r="AK11" s="156" t="s">
        <v>205</v>
      </c>
      <c r="AL11" s="73" t="s">
        <v>206</v>
      </c>
    </row>
    <row r="12" spans="5:38" ht="15" thickBot="1" x14ac:dyDescent="0.25">
      <c r="AI12" s="153"/>
      <c r="AJ12" s="155"/>
      <c r="AK12" s="157"/>
      <c r="AL12" s="71" t="s">
        <v>207</v>
      </c>
    </row>
    <row r="13" spans="5:38" x14ac:dyDescent="0.2">
      <c r="AI13" s="146" t="s">
        <v>50</v>
      </c>
      <c r="AJ13" s="148" t="s">
        <v>229</v>
      </c>
      <c r="AK13" s="150" t="s">
        <v>208</v>
      </c>
      <c r="AL13" s="72" t="s">
        <v>209</v>
      </c>
    </row>
    <row r="14" spans="5:38" x14ac:dyDescent="0.2">
      <c r="AI14" s="158"/>
      <c r="AJ14" s="159"/>
      <c r="AK14" s="160"/>
      <c r="AL14" s="72" t="s">
        <v>210</v>
      </c>
    </row>
    <row r="15" spans="5:38" ht="15" thickBot="1" x14ac:dyDescent="0.25">
      <c r="AI15" s="147"/>
      <c r="AJ15" s="149"/>
      <c r="AK15" s="151"/>
      <c r="AL15" s="68" t="s">
        <v>211</v>
      </c>
    </row>
    <row r="16" spans="5:38" ht="43.5" thickBot="1" x14ac:dyDescent="0.25">
      <c r="AI16" s="69" t="s">
        <v>36</v>
      </c>
      <c r="AJ16" s="76">
        <v>12</v>
      </c>
      <c r="AK16" s="70" t="s">
        <v>212</v>
      </c>
      <c r="AL16" s="71"/>
    </row>
    <row r="17" spans="35:39" ht="15.75" thickBot="1" x14ac:dyDescent="0.25">
      <c r="AI17" s="66" t="s">
        <v>311</v>
      </c>
      <c r="AJ17" s="75">
        <v>11</v>
      </c>
      <c r="AK17" s="67" t="s">
        <v>313</v>
      </c>
      <c r="AL17" s="71" t="s">
        <v>214</v>
      </c>
      <c r="AM17" s="90" t="s">
        <v>312</v>
      </c>
    </row>
    <row r="18" spans="35:39" ht="15.75" thickBot="1" x14ac:dyDescent="0.25">
      <c r="AI18" s="69" t="s">
        <v>53</v>
      </c>
      <c r="AJ18" s="76">
        <v>10</v>
      </c>
      <c r="AK18" s="70" t="s">
        <v>213</v>
      </c>
      <c r="AL18" s="71" t="s">
        <v>214</v>
      </c>
    </row>
    <row r="19" spans="35:39" ht="15.75" thickBot="1" x14ac:dyDescent="0.25">
      <c r="AI19" s="66" t="s">
        <v>20</v>
      </c>
      <c r="AJ19" s="75">
        <v>9</v>
      </c>
      <c r="AK19" s="67" t="s">
        <v>215</v>
      </c>
      <c r="AL19" s="68" t="s">
        <v>214</v>
      </c>
    </row>
    <row r="20" spans="35:39" ht="15.75" thickBot="1" x14ac:dyDescent="0.25">
      <c r="AI20" s="69" t="s">
        <v>19</v>
      </c>
      <c r="AJ20" s="76">
        <v>8</v>
      </c>
      <c r="AK20" s="70" t="s">
        <v>216</v>
      </c>
      <c r="AL20" s="71" t="s">
        <v>214</v>
      </c>
    </row>
    <row r="21" spans="35:39" ht="15.75" thickBot="1" x14ac:dyDescent="0.25">
      <c r="AI21" s="66" t="s">
        <v>18</v>
      </c>
      <c r="AJ21" s="75">
        <v>7</v>
      </c>
      <c r="AK21" s="67" t="s">
        <v>217</v>
      </c>
      <c r="AL21" s="68" t="s">
        <v>214</v>
      </c>
    </row>
    <row r="22" spans="35:39" ht="15.75" thickBot="1" x14ac:dyDescent="0.25">
      <c r="AI22" s="69" t="s">
        <v>17</v>
      </c>
      <c r="AJ22" s="76">
        <v>6</v>
      </c>
      <c r="AK22" s="70" t="s">
        <v>218</v>
      </c>
      <c r="AL22" s="71" t="s">
        <v>214</v>
      </c>
    </row>
    <row r="23" spans="35:39" ht="15.75" thickBot="1" x14ac:dyDescent="0.25">
      <c r="AI23" s="66" t="s">
        <v>219</v>
      </c>
      <c r="AJ23" s="75">
        <v>5</v>
      </c>
      <c r="AK23" s="67" t="s">
        <v>220</v>
      </c>
      <c r="AL23" s="68" t="s">
        <v>214</v>
      </c>
    </row>
    <row r="24" spans="35:39" ht="15.75" thickBot="1" x14ac:dyDescent="0.25">
      <c r="AI24" s="69" t="s">
        <v>221</v>
      </c>
      <c r="AJ24" s="76">
        <v>4</v>
      </c>
      <c r="AK24" s="70" t="s">
        <v>222</v>
      </c>
      <c r="AL24" s="71" t="s">
        <v>214</v>
      </c>
    </row>
    <row r="25" spans="35:39" ht="15.75" thickBot="1" x14ac:dyDescent="0.25">
      <c r="AI25" s="66" t="s">
        <v>14</v>
      </c>
      <c r="AJ25" s="75">
        <v>3</v>
      </c>
      <c r="AK25" s="67" t="s">
        <v>223</v>
      </c>
      <c r="AL25" s="68" t="s">
        <v>214</v>
      </c>
    </row>
    <row r="26" spans="35:39" ht="15.75" thickBot="1" x14ac:dyDescent="0.25">
      <c r="AI26" s="69" t="s">
        <v>13</v>
      </c>
      <c r="AJ26" s="76">
        <v>2</v>
      </c>
      <c r="AK26" s="70" t="s">
        <v>224</v>
      </c>
      <c r="AL26" s="71" t="s">
        <v>214</v>
      </c>
    </row>
    <row r="27" spans="35:39" ht="15.75" thickBot="1" x14ac:dyDescent="0.25">
      <c r="AI27" s="66" t="s">
        <v>12</v>
      </c>
      <c r="AJ27" s="75">
        <v>1</v>
      </c>
      <c r="AK27" s="67" t="s">
        <v>225</v>
      </c>
      <c r="AL27" s="68" t="s">
        <v>214</v>
      </c>
    </row>
    <row r="28" spans="35:39" ht="15.75" thickBot="1" x14ac:dyDescent="0.25">
      <c r="AI28" s="69" t="s">
        <v>11</v>
      </c>
      <c r="AJ28" s="76">
        <v>0</v>
      </c>
      <c r="AK28" s="70" t="s">
        <v>226</v>
      </c>
      <c r="AL28" s="71" t="s">
        <v>214</v>
      </c>
    </row>
  </sheetData>
  <mergeCells count="12">
    <mergeCell ref="AK9:AK10"/>
    <mergeCell ref="AI11:AI12"/>
    <mergeCell ref="AJ11:AJ12"/>
    <mergeCell ref="AK11:AK12"/>
    <mergeCell ref="AI13:AI15"/>
    <mergeCell ref="AJ13:AJ15"/>
    <mergeCell ref="AK13:AK15"/>
    <mergeCell ref="J3:Q3"/>
    <mergeCell ref="S3:T3"/>
    <mergeCell ref="J2:AG2"/>
    <mergeCell ref="AI9:AI10"/>
    <mergeCell ref="AJ9:AJ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s>
  <sheetData>
    <row r="1" spans="5:3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x14ac:dyDescent="0.2">
      <c r="F2" s="60" t="s">
        <v>40</v>
      </c>
      <c r="G2" s="5" t="s">
        <v>9</v>
      </c>
      <c r="H2" s="18"/>
      <c r="I2" s="60" t="s">
        <v>6</v>
      </c>
      <c r="J2" s="105" t="s">
        <v>7</v>
      </c>
      <c r="K2" s="105"/>
      <c r="L2" s="105"/>
      <c r="M2" s="105"/>
      <c r="N2" s="105"/>
      <c r="O2" s="105"/>
      <c r="P2" s="105"/>
      <c r="Q2" s="105"/>
      <c r="R2" s="105"/>
      <c r="S2" s="105"/>
      <c r="T2" s="105"/>
      <c r="U2" s="105"/>
      <c r="V2" s="105"/>
      <c r="W2" s="105"/>
      <c r="X2" s="105"/>
      <c r="Y2" s="105"/>
      <c r="Z2" s="105"/>
      <c r="AA2" s="105"/>
      <c r="AB2" s="105"/>
      <c r="AC2" s="105"/>
      <c r="AD2" s="105"/>
      <c r="AE2" s="105"/>
      <c r="AF2" s="105"/>
      <c r="AG2" s="105"/>
    </row>
    <row r="3" spans="5:33" ht="51.75" customHeight="1" x14ac:dyDescent="0.2">
      <c r="E3" s="3"/>
      <c r="F3" s="59" t="s">
        <v>37</v>
      </c>
      <c r="G3" s="7" t="s">
        <v>28</v>
      </c>
      <c r="H3" s="20">
        <v>1</v>
      </c>
      <c r="I3" s="8" t="str">
        <f t="shared" ref="I3" si="0">"0x" &amp; DEC2HEX(H3,2)</f>
        <v>0x01</v>
      </c>
      <c r="J3" s="108" t="s">
        <v>24</v>
      </c>
      <c r="K3" s="108"/>
      <c r="L3" s="108"/>
      <c r="M3" s="108"/>
      <c r="N3" s="108"/>
      <c r="O3" s="108"/>
      <c r="P3" s="108"/>
      <c r="Q3" s="108"/>
      <c r="R3" s="9"/>
      <c r="S3" s="108" t="s">
        <v>27</v>
      </c>
      <c r="T3" s="108"/>
      <c r="U3" s="108"/>
      <c r="V3" s="108"/>
      <c r="W3" s="108"/>
      <c r="X3" s="108" t="s">
        <v>26</v>
      </c>
      <c r="Y3" s="108"/>
      <c r="Z3" s="108"/>
      <c r="AA3" s="108"/>
      <c r="AB3" s="108" t="s">
        <v>25</v>
      </c>
      <c r="AC3" s="108"/>
      <c r="AD3" s="108"/>
      <c r="AE3" s="108"/>
      <c r="AF3" s="108"/>
      <c r="AG3" s="108"/>
    </row>
    <row r="4" spans="5:33" ht="15" x14ac:dyDescent="0.2">
      <c r="E4" s="3"/>
    </row>
  </sheetData>
  <mergeCells count="5">
    <mergeCell ref="J2:AG2"/>
    <mergeCell ref="J3:Q3"/>
    <mergeCell ref="S3:W3"/>
    <mergeCell ref="X3:AA3"/>
    <mergeCell ref="AB3:AG3"/>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M10"/>
  <sheetViews>
    <sheetView topLeftCell="N1" zoomScale="70" zoomScaleNormal="70" workbookViewId="0">
      <selection activeCell="AK8" sqref="AK8:AK9"/>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6.75" customWidth="1"/>
    <col min="36" max="36" width="18.375" style="2" customWidth="1"/>
    <col min="37" max="37" width="18.75" customWidth="1"/>
    <col min="38" max="38" width="10.125" customWidth="1"/>
    <col min="39" max="39" width="104.875" customWidth="1"/>
    <col min="40" max="40" width="22.25" customWidth="1"/>
  </cols>
  <sheetData>
    <row r="1" spans="5:39"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9" x14ac:dyDescent="0.2">
      <c r="F2" s="4" t="s">
        <v>40</v>
      </c>
      <c r="G2" s="5" t="s">
        <v>9</v>
      </c>
      <c r="H2" s="18"/>
      <c r="I2" s="4" t="s">
        <v>6</v>
      </c>
      <c r="J2" s="105" t="s">
        <v>7</v>
      </c>
      <c r="K2" s="105"/>
      <c r="L2" s="105"/>
      <c r="M2" s="105"/>
      <c r="N2" s="105"/>
      <c r="O2" s="105"/>
      <c r="P2" s="105"/>
      <c r="Q2" s="105"/>
      <c r="R2" s="105"/>
      <c r="S2" s="105"/>
      <c r="T2" s="105"/>
      <c r="U2" s="105"/>
      <c r="V2" s="105"/>
      <c r="W2" s="105"/>
      <c r="X2" s="105"/>
      <c r="Y2" s="105"/>
      <c r="Z2" s="105"/>
      <c r="AA2" s="105"/>
      <c r="AB2" s="105"/>
      <c r="AC2" s="105"/>
      <c r="AD2" s="105"/>
      <c r="AE2" s="105"/>
      <c r="AF2" s="105"/>
      <c r="AG2" s="105"/>
    </row>
    <row r="3" spans="5:39" ht="15" x14ac:dyDescent="0.2">
      <c r="E3" s="3"/>
      <c r="F3" s="6" t="s">
        <v>22</v>
      </c>
      <c r="G3" s="7" t="s">
        <v>9</v>
      </c>
      <c r="H3" s="20">
        <v>6</v>
      </c>
      <c r="I3" s="8" t="str">
        <f t="shared" ref="I3" si="0">"0x" &amp; DEC2HEX(H3,2)</f>
        <v>0x06</v>
      </c>
      <c r="J3" s="9">
        <v>0</v>
      </c>
      <c r="K3" s="9">
        <v>0</v>
      </c>
      <c r="L3" s="9">
        <v>0</v>
      </c>
      <c r="M3" s="9">
        <v>0</v>
      </c>
      <c r="N3" s="137" t="s">
        <v>147</v>
      </c>
      <c r="O3" s="138"/>
      <c r="P3" s="138"/>
      <c r="Q3" s="138"/>
      <c r="R3" s="138"/>
      <c r="S3" s="138"/>
      <c r="T3" s="138"/>
      <c r="U3" s="138"/>
      <c r="V3" s="138"/>
      <c r="W3" s="138"/>
      <c r="X3" s="138"/>
      <c r="Y3" s="139"/>
      <c r="Z3" s="137" t="s">
        <v>146</v>
      </c>
      <c r="AA3" s="138"/>
      <c r="AB3" s="138"/>
      <c r="AC3" s="138"/>
      <c r="AD3" s="138"/>
      <c r="AE3" s="139"/>
      <c r="AF3" s="106" t="s">
        <v>5</v>
      </c>
      <c r="AG3" s="107"/>
    </row>
    <row r="4" spans="5:39" ht="15" x14ac:dyDescent="0.2">
      <c r="E4" s="3"/>
      <c r="AJ4" s="16"/>
      <c r="AK4" s="16" t="s">
        <v>71</v>
      </c>
      <c r="AL4" s="16" t="s">
        <v>77</v>
      </c>
      <c r="AM4" s="16"/>
    </row>
    <row r="5" spans="5:39" ht="30" customHeight="1" x14ac:dyDescent="0.2">
      <c r="AJ5" s="163"/>
      <c r="AK5" s="163" t="s">
        <v>5</v>
      </c>
      <c r="AL5" s="163" t="s">
        <v>84</v>
      </c>
      <c r="AM5" s="161" t="s">
        <v>148</v>
      </c>
    </row>
    <row r="6" spans="5:39" ht="27" customHeight="1" x14ac:dyDescent="0.2">
      <c r="AJ6" s="164"/>
      <c r="AK6" s="164"/>
      <c r="AL6" s="164"/>
      <c r="AM6" s="162"/>
    </row>
    <row r="7" spans="5:39" ht="32.25" customHeight="1" x14ac:dyDescent="0.2">
      <c r="AJ7" s="164"/>
      <c r="AK7" s="164"/>
      <c r="AL7" s="164"/>
      <c r="AM7" s="162"/>
    </row>
    <row r="8" spans="5:39" x14ac:dyDescent="0.2">
      <c r="AJ8" s="164"/>
      <c r="AK8" s="41" t="s">
        <v>146</v>
      </c>
      <c r="AL8" s="41" t="s">
        <v>150</v>
      </c>
      <c r="AM8" s="41" t="s">
        <v>149</v>
      </c>
    </row>
    <row r="9" spans="5:39" x14ac:dyDescent="0.2">
      <c r="AJ9" s="164"/>
      <c r="AK9" s="54" t="s">
        <v>147</v>
      </c>
      <c r="AL9" s="54" t="s">
        <v>151</v>
      </c>
      <c r="AM9" s="54" t="s">
        <v>192</v>
      </c>
    </row>
    <row r="10" spans="5:39" x14ac:dyDescent="0.2">
      <c r="AJ10" s="165"/>
      <c r="AK10" s="49" t="s">
        <v>83</v>
      </c>
      <c r="AL10" s="49" t="s">
        <v>94</v>
      </c>
      <c r="AM10" s="49"/>
    </row>
  </sheetData>
  <mergeCells count="8">
    <mergeCell ref="AM5:AM7"/>
    <mergeCell ref="J2:AG2"/>
    <mergeCell ref="N3:Y3"/>
    <mergeCell ref="Z3:AE3"/>
    <mergeCell ref="AF3:AG3"/>
    <mergeCell ref="AJ5:AJ10"/>
    <mergeCell ref="AK5:AK7"/>
    <mergeCell ref="AL5:AL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Q15"/>
  <sheetViews>
    <sheetView topLeftCell="G1" zoomScale="70" zoomScaleNormal="70" workbookViewId="0">
      <selection activeCell="AO14" sqref="AO14:AO15"/>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5.625" customWidth="1"/>
    <col min="43" max="43" width="45.625" customWidth="1"/>
  </cols>
  <sheetData>
    <row r="1" spans="5:4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
      <c r="F2" s="4" t="s">
        <v>40</v>
      </c>
      <c r="G2" s="5" t="s">
        <v>9</v>
      </c>
      <c r="H2" s="18"/>
      <c r="I2" s="4" t="s">
        <v>6</v>
      </c>
      <c r="J2" s="105" t="s">
        <v>7</v>
      </c>
      <c r="K2" s="105"/>
      <c r="L2" s="105"/>
      <c r="M2" s="105"/>
      <c r="N2" s="105"/>
      <c r="O2" s="105"/>
      <c r="P2" s="105"/>
      <c r="Q2" s="105"/>
      <c r="R2" s="105"/>
      <c r="S2" s="105"/>
      <c r="T2" s="105"/>
      <c r="U2" s="105"/>
      <c r="V2" s="105"/>
      <c r="W2" s="105"/>
      <c r="X2" s="105"/>
      <c r="Y2" s="105"/>
      <c r="Z2" s="105"/>
      <c r="AA2" s="105"/>
      <c r="AB2" s="105"/>
      <c r="AC2" s="105"/>
      <c r="AD2" s="105"/>
      <c r="AE2" s="105"/>
      <c r="AF2" s="105"/>
      <c r="AG2" s="105"/>
    </row>
    <row r="3" spans="5:43" ht="58.5" customHeight="1" x14ac:dyDescent="0.2">
      <c r="E3" s="3"/>
      <c r="F3" s="6" t="s">
        <v>21</v>
      </c>
      <c r="G3" s="7" t="s">
        <v>9</v>
      </c>
      <c r="H3" s="20">
        <v>7</v>
      </c>
      <c r="I3" s="8" t="str">
        <f t="shared" ref="I3" si="0">"0x" &amp; DEC2HEX(H3,2)</f>
        <v>0x07</v>
      </c>
      <c r="J3" s="15" t="s">
        <v>141</v>
      </c>
      <c r="K3" s="15" t="s">
        <v>134</v>
      </c>
      <c r="L3" s="106" t="s">
        <v>194</v>
      </c>
      <c r="M3" s="125"/>
      <c r="N3" s="125"/>
      <c r="O3" s="125"/>
      <c r="P3" s="125"/>
      <c r="Q3" s="126"/>
      <c r="R3" s="95"/>
      <c r="S3" s="176" t="s">
        <v>193</v>
      </c>
      <c r="T3" s="125"/>
      <c r="U3" s="125"/>
      <c r="V3" s="125"/>
      <c r="W3" s="125"/>
      <c r="X3" s="125"/>
      <c r="Y3" s="125"/>
      <c r="Z3" s="125"/>
      <c r="AA3" s="125"/>
      <c r="AB3" s="125"/>
      <c r="AC3" s="125"/>
      <c r="AD3" s="125"/>
      <c r="AE3" s="125"/>
      <c r="AF3" s="125"/>
      <c r="AG3" s="126"/>
    </row>
    <row r="4" spans="5:43" ht="15" x14ac:dyDescent="0.2">
      <c r="E4" s="3"/>
      <c r="AL4" s="16"/>
      <c r="AM4" s="16" t="s">
        <v>71</v>
      </c>
      <c r="AN4" s="16" t="s">
        <v>77</v>
      </c>
      <c r="AO4" s="16" t="s">
        <v>72</v>
      </c>
      <c r="AP4" s="176" t="s">
        <v>162</v>
      </c>
      <c r="AQ4" s="126"/>
    </row>
    <row r="5" spans="5:43" x14ac:dyDescent="0.2">
      <c r="AL5" s="168" t="s">
        <v>21</v>
      </c>
      <c r="AM5" s="168" t="s">
        <v>193</v>
      </c>
      <c r="AN5" s="168" t="s">
        <v>318</v>
      </c>
      <c r="AO5" s="166" t="s">
        <v>317</v>
      </c>
      <c r="AP5" s="169" t="s">
        <v>316</v>
      </c>
      <c r="AQ5" s="170"/>
    </row>
    <row r="6" spans="5:43" ht="48.75" customHeight="1" x14ac:dyDescent="0.2">
      <c r="AL6" s="168"/>
      <c r="AM6" s="168"/>
      <c r="AN6" s="168"/>
      <c r="AO6" s="167"/>
      <c r="AP6" s="171"/>
      <c r="AQ6" s="172"/>
    </row>
    <row r="7" spans="5:43" x14ac:dyDescent="0.2">
      <c r="AL7" s="168"/>
      <c r="AM7" s="94" t="s">
        <v>83</v>
      </c>
      <c r="AN7" s="94" t="s">
        <v>321</v>
      </c>
      <c r="AO7" s="93" t="s">
        <v>83</v>
      </c>
      <c r="AP7" s="177" t="s">
        <v>83</v>
      </c>
      <c r="AQ7" s="178"/>
    </row>
    <row r="8" spans="5:43" x14ac:dyDescent="0.2">
      <c r="AL8" s="167"/>
      <c r="AM8" s="167" t="s">
        <v>194</v>
      </c>
      <c r="AN8" s="167" t="s">
        <v>139</v>
      </c>
      <c r="AO8" s="166" t="s">
        <v>164</v>
      </c>
      <c r="AP8" s="173" t="s">
        <v>163</v>
      </c>
      <c r="AQ8" s="170"/>
    </row>
    <row r="9" spans="5:43" x14ac:dyDescent="0.2">
      <c r="AL9" s="167"/>
      <c r="AM9" s="167"/>
      <c r="AN9" s="167"/>
      <c r="AO9" s="167"/>
      <c r="AP9" s="174"/>
      <c r="AQ9" s="175"/>
    </row>
    <row r="10" spans="5:43" x14ac:dyDescent="0.2">
      <c r="AL10" s="167"/>
      <c r="AM10" s="167"/>
      <c r="AN10" s="167"/>
      <c r="AO10" s="167"/>
      <c r="AP10" s="174"/>
      <c r="AQ10" s="175"/>
    </row>
    <row r="11" spans="5:43" x14ac:dyDescent="0.2">
      <c r="AL11" s="167"/>
      <c r="AM11" s="167"/>
      <c r="AN11" s="167"/>
      <c r="AO11" s="167"/>
      <c r="AP11" s="171"/>
      <c r="AQ11" s="172"/>
    </row>
    <row r="12" spans="5:43" x14ac:dyDescent="0.2">
      <c r="AL12" s="167"/>
      <c r="AM12" s="168" t="s">
        <v>134</v>
      </c>
      <c r="AN12" s="168" t="s">
        <v>320</v>
      </c>
      <c r="AO12" s="166" t="s">
        <v>145</v>
      </c>
      <c r="AP12" s="43">
        <v>0</v>
      </c>
      <c r="AQ12" s="41" t="s">
        <v>140</v>
      </c>
    </row>
    <row r="13" spans="5:43" x14ac:dyDescent="0.2">
      <c r="AL13" s="167"/>
      <c r="AM13" s="168"/>
      <c r="AN13" s="167"/>
      <c r="AO13" s="167"/>
      <c r="AP13" s="43">
        <v>1</v>
      </c>
      <c r="AQ13" s="41" t="s">
        <v>142</v>
      </c>
    </row>
    <row r="14" spans="5:43" x14ac:dyDescent="0.2">
      <c r="AL14" s="167"/>
      <c r="AM14" s="168" t="s">
        <v>141</v>
      </c>
      <c r="AN14" s="168" t="s">
        <v>319</v>
      </c>
      <c r="AO14" s="166" t="s">
        <v>165</v>
      </c>
      <c r="AP14" s="43">
        <v>0</v>
      </c>
      <c r="AQ14" s="41" t="s">
        <v>143</v>
      </c>
    </row>
    <row r="15" spans="5:43" x14ac:dyDescent="0.2">
      <c r="AL15" s="167"/>
      <c r="AM15" s="168"/>
      <c r="AN15" s="167"/>
      <c r="AO15" s="167"/>
      <c r="AP15" s="43">
        <v>1</v>
      </c>
      <c r="AQ15" s="41" t="s">
        <v>144</v>
      </c>
    </row>
  </sheetData>
  <mergeCells count="20">
    <mergeCell ref="AP5:AQ6"/>
    <mergeCell ref="AP8:AQ11"/>
    <mergeCell ref="AP4:AQ4"/>
    <mergeCell ref="AM5:AM6"/>
    <mergeCell ref="AN5:AN6"/>
    <mergeCell ref="AO5:AO6"/>
    <mergeCell ref="AM8:AM11"/>
    <mergeCell ref="AN8:AN11"/>
    <mergeCell ref="AO8:AO11"/>
    <mergeCell ref="AP7:AQ7"/>
    <mergeCell ref="AO14:AO15"/>
    <mergeCell ref="AM12:AM13"/>
    <mergeCell ref="AN12:AN13"/>
    <mergeCell ref="AO12:AO13"/>
    <mergeCell ref="J2:AG2"/>
    <mergeCell ref="AL5:AL15"/>
    <mergeCell ref="L3:Q3"/>
    <mergeCell ref="S3:AG3"/>
    <mergeCell ref="AM14:AM15"/>
    <mergeCell ref="AN14:AN1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R43"/>
  <sheetViews>
    <sheetView topLeftCell="D2" zoomScale="70" zoomScaleNormal="70" workbookViewId="0">
      <selection activeCell="AN33" sqref="AN33"/>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2.875" customWidth="1"/>
    <col min="43" max="43" width="45.625" customWidth="1"/>
    <col min="44" max="44" width="25.25" customWidth="1"/>
  </cols>
  <sheetData>
    <row r="1" spans="5:4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4" x14ac:dyDescent="0.2">
      <c r="F2" s="4" t="s">
        <v>40</v>
      </c>
      <c r="G2" s="5" t="s">
        <v>9</v>
      </c>
      <c r="H2" s="18"/>
      <c r="I2" s="4" t="s">
        <v>6</v>
      </c>
      <c r="J2" s="105" t="s">
        <v>7</v>
      </c>
      <c r="K2" s="105"/>
      <c r="L2" s="105"/>
      <c r="M2" s="105"/>
      <c r="N2" s="105"/>
      <c r="O2" s="105"/>
      <c r="P2" s="105"/>
      <c r="Q2" s="105"/>
      <c r="R2" s="105"/>
      <c r="S2" s="105"/>
      <c r="T2" s="105"/>
      <c r="U2" s="105"/>
      <c r="V2" s="105"/>
      <c r="W2" s="105"/>
      <c r="X2" s="105"/>
      <c r="Y2" s="105"/>
      <c r="Z2" s="105"/>
      <c r="AA2" s="105"/>
      <c r="AB2" s="105"/>
      <c r="AC2" s="105"/>
      <c r="AD2" s="105"/>
      <c r="AE2" s="105"/>
      <c r="AF2" s="105"/>
      <c r="AG2" s="105"/>
    </row>
    <row r="3" spans="5:44" ht="44.25" customHeight="1" x14ac:dyDescent="0.2">
      <c r="F3" s="6" t="s">
        <v>135</v>
      </c>
      <c r="G3" s="7" t="s">
        <v>9</v>
      </c>
      <c r="H3" s="20">
        <v>0</v>
      </c>
      <c r="I3" s="8" t="str">
        <f t="shared" ref="I3:I6" si="0">"0x" &amp; DEC2HEX(H3,2)</f>
        <v>0x00</v>
      </c>
      <c r="J3" s="11">
        <v>0</v>
      </c>
      <c r="K3" s="11">
        <v>0</v>
      </c>
      <c r="L3" s="108" t="s">
        <v>159</v>
      </c>
      <c r="M3" s="183"/>
      <c r="N3" s="183"/>
      <c r="O3" s="183"/>
      <c r="P3" s="183"/>
      <c r="Q3" s="183"/>
      <c r="R3" s="108" t="s">
        <v>1</v>
      </c>
      <c r="S3" s="183"/>
      <c r="T3" s="183"/>
      <c r="U3" s="183"/>
      <c r="V3" s="183"/>
      <c r="W3" s="183"/>
      <c r="X3" s="108" t="s">
        <v>0</v>
      </c>
      <c r="Y3" s="183"/>
      <c r="Z3" s="183"/>
      <c r="AA3" s="183"/>
      <c r="AB3" s="183"/>
      <c r="AC3" s="183"/>
      <c r="AD3" s="15" t="s">
        <v>62</v>
      </c>
      <c r="AE3" s="108" t="s">
        <v>61</v>
      </c>
      <c r="AF3" s="108"/>
      <c r="AG3" s="15" t="s">
        <v>74</v>
      </c>
    </row>
    <row r="4" spans="5:44" ht="48.75" customHeight="1" x14ac:dyDescent="0.2">
      <c r="F4" s="6" t="s">
        <v>136</v>
      </c>
      <c r="G4" s="7" t="s">
        <v>9</v>
      </c>
      <c r="H4" s="20">
        <v>1</v>
      </c>
      <c r="I4" s="8" t="str">
        <f t="shared" si="0"/>
        <v>0x01</v>
      </c>
      <c r="J4" s="11">
        <v>0</v>
      </c>
      <c r="K4" s="11">
        <v>0</v>
      </c>
      <c r="L4" s="11">
        <v>0</v>
      </c>
      <c r="M4" s="11">
        <v>0</v>
      </c>
      <c r="N4" s="108" t="s">
        <v>67</v>
      </c>
      <c r="O4" s="183"/>
      <c r="P4" s="183"/>
      <c r="Q4" s="183"/>
      <c r="R4" s="108" t="s">
        <v>66</v>
      </c>
      <c r="S4" s="183"/>
      <c r="T4" s="183"/>
      <c r="U4" s="183"/>
      <c r="V4" s="108" t="s">
        <v>68</v>
      </c>
      <c r="W4" s="183"/>
      <c r="X4" s="108" t="s">
        <v>64</v>
      </c>
      <c r="Y4" s="183"/>
      <c r="Z4" s="183"/>
      <c r="AA4" s="183"/>
      <c r="AB4" s="108" t="s">
        <v>65</v>
      </c>
      <c r="AC4" s="183"/>
      <c r="AD4" s="183"/>
      <c r="AE4" s="183"/>
      <c r="AF4" s="108" t="s">
        <v>63</v>
      </c>
      <c r="AG4" s="183"/>
    </row>
    <row r="5" spans="5:44" ht="58.5" customHeight="1" x14ac:dyDescent="0.2">
      <c r="F5" s="6" t="s">
        <v>137</v>
      </c>
      <c r="G5" s="7" t="s">
        <v>9</v>
      </c>
      <c r="H5" s="20">
        <v>2</v>
      </c>
      <c r="I5" s="8" t="str">
        <f t="shared" si="0"/>
        <v>0x02</v>
      </c>
      <c r="J5" s="11">
        <v>0</v>
      </c>
      <c r="K5" s="11">
        <v>0</v>
      </c>
      <c r="L5" s="11">
        <v>0</v>
      </c>
      <c r="M5" s="11">
        <v>0</v>
      </c>
      <c r="N5" s="11">
        <v>0</v>
      </c>
      <c r="O5" s="11">
        <v>0</v>
      </c>
      <c r="P5" s="11">
        <v>0</v>
      </c>
      <c r="Q5" s="11">
        <v>0</v>
      </c>
      <c r="R5" s="11">
        <v>0</v>
      </c>
      <c r="S5" s="11">
        <v>0</v>
      </c>
      <c r="T5" s="108" t="s">
        <v>69</v>
      </c>
      <c r="U5" s="108"/>
      <c r="V5" s="108"/>
      <c r="W5" s="108"/>
      <c r="X5" s="106" t="s">
        <v>114</v>
      </c>
      <c r="Y5" s="125"/>
      <c r="Z5" s="126"/>
      <c r="AA5" s="108" t="s">
        <v>69</v>
      </c>
      <c r="AB5" s="108"/>
      <c r="AC5" s="108"/>
      <c r="AD5" s="108"/>
      <c r="AE5" s="106" t="s">
        <v>115</v>
      </c>
      <c r="AF5" s="125"/>
      <c r="AG5" s="126"/>
    </row>
    <row r="6" spans="5:44" ht="57" customHeight="1" x14ac:dyDescent="0.2">
      <c r="F6" s="6" t="s">
        <v>138</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100</v>
      </c>
      <c r="Z6" s="176" t="s">
        <v>101</v>
      </c>
      <c r="AA6" s="125"/>
      <c r="AB6" s="125"/>
      <c r="AC6" s="125"/>
      <c r="AD6" s="125"/>
      <c r="AE6" s="125"/>
      <c r="AF6" s="125"/>
      <c r="AG6" s="126"/>
    </row>
    <row r="7" spans="5:44" ht="15" x14ac:dyDescent="0.2">
      <c r="E7" s="3"/>
    </row>
    <row r="8" spans="5:44" ht="15" x14ac:dyDescent="0.2">
      <c r="E8" s="3"/>
      <c r="AL8" s="16"/>
      <c r="AM8" s="16" t="s">
        <v>71</v>
      </c>
      <c r="AN8" s="16" t="s">
        <v>77</v>
      </c>
      <c r="AO8" s="16" t="s">
        <v>72</v>
      </c>
      <c r="AP8" s="16"/>
      <c r="AQ8" s="16"/>
      <c r="AR8" s="62" t="s">
        <v>309</v>
      </c>
    </row>
    <row r="9" spans="5:44" x14ac:dyDescent="0.2">
      <c r="AL9" s="168" t="s">
        <v>135</v>
      </c>
      <c r="AM9" s="168" t="s">
        <v>74</v>
      </c>
      <c r="AN9" s="168" t="s">
        <v>78</v>
      </c>
      <c r="AO9" s="166" t="s">
        <v>73</v>
      </c>
      <c r="AP9" s="43">
        <v>0</v>
      </c>
      <c r="AQ9" s="44" t="s">
        <v>59</v>
      </c>
      <c r="AR9" s="62"/>
    </row>
    <row r="10" spans="5:44" x14ac:dyDescent="0.2">
      <c r="AL10" s="168"/>
      <c r="AM10" s="168"/>
      <c r="AN10" s="168"/>
      <c r="AO10" s="167"/>
      <c r="AP10" s="43">
        <v>1</v>
      </c>
      <c r="AQ10" s="44" t="s">
        <v>60</v>
      </c>
      <c r="AR10" s="62"/>
    </row>
    <row r="11" spans="5:44" x14ac:dyDescent="0.2">
      <c r="AL11" s="167"/>
      <c r="AM11" s="167" t="s">
        <v>61</v>
      </c>
      <c r="AN11" s="167" t="s">
        <v>79</v>
      </c>
      <c r="AO11" s="166" t="s">
        <v>75</v>
      </c>
      <c r="AP11" s="41" t="s">
        <v>55</v>
      </c>
      <c r="AQ11" s="41" t="s">
        <v>54</v>
      </c>
      <c r="AR11" s="62"/>
    </row>
    <row r="12" spans="5:44" x14ac:dyDescent="0.2">
      <c r="AL12" s="167"/>
      <c r="AM12" s="167"/>
      <c r="AN12" s="167"/>
      <c r="AO12" s="167"/>
      <c r="AP12" s="44" t="s">
        <v>56</v>
      </c>
      <c r="AQ12" s="41" t="s">
        <v>3</v>
      </c>
      <c r="AR12" s="62"/>
    </row>
    <row r="13" spans="5:44" x14ac:dyDescent="0.2">
      <c r="AL13" s="167"/>
      <c r="AM13" s="167"/>
      <c r="AN13" s="167"/>
      <c r="AO13" s="167"/>
      <c r="AP13" s="44" t="s">
        <v>57</v>
      </c>
      <c r="AQ13" s="41" t="s">
        <v>4</v>
      </c>
      <c r="AR13" s="62"/>
    </row>
    <row r="14" spans="5:44" x14ac:dyDescent="0.2">
      <c r="AL14" s="167"/>
      <c r="AM14" s="167"/>
      <c r="AN14" s="167"/>
      <c r="AO14" s="167"/>
      <c r="AP14" s="44" t="s">
        <v>58</v>
      </c>
      <c r="AQ14" s="41" t="s">
        <v>117</v>
      </c>
      <c r="AR14" s="62"/>
    </row>
    <row r="15" spans="5:44" x14ac:dyDescent="0.2">
      <c r="AL15" s="167"/>
      <c r="AM15" s="168" t="s">
        <v>62</v>
      </c>
      <c r="AN15" s="168" t="s">
        <v>80</v>
      </c>
      <c r="AO15" s="166" t="s">
        <v>76</v>
      </c>
      <c r="AP15" s="43">
        <v>0</v>
      </c>
      <c r="AQ15" s="41" t="s">
        <v>54</v>
      </c>
      <c r="AR15" s="62"/>
    </row>
    <row r="16" spans="5:44" x14ac:dyDescent="0.2">
      <c r="AL16" s="167"/>
      <c r="AM16" s="168"/>
      <c r="AN16" s="167"/>
      <c r="AO16" s="167"/>
      <c r="AP16" s="43">
        <v>1</v>
      </c>
      <c r="AQ16" s="41" t="s">
        <v>2</v>
      </c>
      <c r="AR16" s="62"/>
    </row>
    <row r="17" spans="38:44" ht="28.5" x14ac:dyDescent="0.2">
      <c r="AL17" s="167"/>
      <c r="AM17" s="44" t="s">
        <v>0</v>
      </c>
      <c r="AN17" s="44" t="s">
        <v>81</v>
      </c>
      <c r="AO17" s="42" t="s">
        <v>116</v>
      </c>
      <c r="AP17" s="44"/>
      <c r="AQ17" s="44"/>
      <c r="AR17" s="62"/>
    </row>
    <row r="18" spans="38:44" ht="28.5" x14ac:dyDescent="0.2">
      <c r="AL18" s="167"/>
      <c r="AM18" s="53" t="s">
        <v>1</v>
      </c>
      <c r="AN18" s="53" t="s">
        <v>82</v>
      </c>
      <c r="AO18" s="52" t="s">
        <v>160</v>
      </c>
      <c r="AP18" s="53"/>
      <c r="AQ18" s="53"/>
      <c r="AR18" s="62"/>
    </row>
    <row r="19" spans="38:44" ht="28.5" x14ac:dyDescent="0.2">
      <c r="AL19" s="167"/>
      <c r="AM19" s="44" t="s">
        <v>159</v>
      </c>
      <c r="AN19" s="44" t="s">
        <v>139</v>
      </c>
      <c r="AO19" s="42" t="s">
        <v>161</v>
      </c>
      <c r="AP19" s="44"/>
      <c r="AQ19" s="44"/>
      <c r="AR19" s="62"/>
    </row>
    <row r="20" spans="38:44" x14ac:dyDescent="0.2">
      <c r="AL20" s="167"/>
      <c r="AM20" s="49" t="s">
        <v>83</v>
      </c>
      <c r="AN20" s="49" t="s">
        <v>286</v>
      </c>
      <c r="AO20" s="50" t="s">
        <v>99</v>
      </c>
      <c r="AP20" s="49"/>
      <c r="AQ20" s="49"/>
      <c r="AR20" s="78" t="s">
        <v>299</v>
      </c>
    </row>
    <row r="21" spans="38:44" ht="30" customHeight="1" x14ac:dyDescent="0.2">
      <c r="AL21" s="181" t="s">
        <v>136</v>
      </c>
      <c r="AM21" s="45" t="s">
        <v>63</v>
      </c>
      <c r="AN21" s="45" t="s">
        <v>84</v>
      </c>
      <c r="AO21" s="46" t="s">
        <v>85</v>
      </c>
      <c r="AP21" s="47"/>
      <c r="AQ21" s="47"/>
      <c r="AR21" s="62"/>
    </row>
    <row r="22" spans="38:44" ht="28.5" x14ac:dyDescent="0.2">
      <c r="AL22" s="181"/>
      <c r="AM22" s="45" t="s">
        <v>65</v>
      </c>
      <c r="AN22" s="45" t="s">
        <v>91</v>
      </c>
      <c r="AO22" s="46" t="s">
        <v>87</v>
      </c>
      <c r="AP22" s="47"/>
      <c r="AQ22" s="47"/>
      <c r="AR22" s="62"/>
    </row>
    <row r="23" spans="38:44" ht="28.5" x14ac:dyDescent="0.2">
      <c r="AL23" s="182"/>
      <c r="AM23" s="45" t="s">
        <v>64</v>
      </c>
      <c r="AN23" s="45" t="s">
        <v>92</v>
      </c>
      <c r="AO23" s="46" t="s">
        <v>86</v>
      </c>
      <c r="AP23" s="47"/>
      <c r="AQ23" s="47"/>
      <c r="AR23" s="62"/>
    </row>
    <row r="24" spans="38:44" ht="28.5" x14ac:dyDescent="0.2">
      <c r="AL24" s="182"/>
      <c r="AM24" s="45" t="s">
        <v>68</v>
      </c>
      <c r="AN24" s="45" t="s">
        <v>93</v>
      </c>
      <c r="AO24" s="46" t="s">
        <v>88</v>
      </c>
      <c r="AP24" s="47"/>
      <c r="AQ24" s="47"/>
      <c r="AR24" s="62"/>
    </row>
    <row r="25" spans="38:44" ht="28.5" x14ac:dyDescent="0.2">
      <c r="AL25" s="182"/>
      <c r="AM25" s="45" t="s">
        <v>66</v>
      </c>
      <c r="AN25" s="45" t="s">
        <v>231</v>
      </c>
      <c r="AO25" s="46" t="s">
        <v>90</v>
      </c>
      <c r="AP25" s="47"/>
      <c r="AQ25" s="47"/>
      <c r="AR25" s="78" t="s">
        <v>298</v>
      </c>
    </row>
    <row r="26" spans="38:44" ht="28.5" x14ac:dyDescent="0.2">
      <c r="AL26" s="182"/>
      <c r="AM26" s="45" t="s">
        <v>67</v>
      </c>
      <c r="AN26" s="45" t="s">
        <v>232</v>
      </c>
      <c r="AO26" s="46" t="s">
        <v>89</v>
      </c>
      <c r="AP26" s="47"/>
      <c r="AQ26" s="47"/>
      <c r="AR26" s="78" t="s">
        <v>300</v>
      </c>
    </row>
    <row r="27" spans="38:44" x14ac:dyDescent="0.2">
      <c r="AL27" s="182"/>
      <c r="AM27" s="49" t="s">
        <v>83</v>
      </c>
      <c r="AN27" s="49" t="s">
        <v>94</v>
      </c>
      <c r="AO27" s="50" t="s">
        <v>99</v>
      </c>
      <c r="AP27" s="51"/>
      <c r="AQ27" s="51"/>
      <c r="AR27" s="62"/>
    </row>
    <row r="28" spans="38:44" ht="15" customHeight="1" x14ac:dyDescent="0.2">
      <c r="AL28" s="167" t="s">
        <v>137</v>
      </c>
      <c r="AM28" s="167" t="s">
        <v>115</v>
      </c>
      <c r="AN28" s="167" t="s">
        <v>102</v>
      </c>
      <c r="AO28" s="166" t="s">
        <v>98</v>
      </c>
      <c r="AP28" s="48" t="s">
        <v>55</v>
      </c>
      <c r="AQ28" s="48" t="s">
        <v>109</v>
      </c>
      <c r="AR28" s="62"/>
    </row>
    <row r="29" spans="38:44" x14ac:dyDescent="0.2">
      <c r="AL29" s="167"/>
      <c r="AM29" s="167"/>
      <c r="AN29" s="167"/>
      <c r="AO29" s="166"/>
      <c r="AP29" s="48" t="s">
        <v>56</v>
      </c>
      <c r="AQ29" s="48" t="s">
        <v>110</v>
      </c>
      <c r="AR29" s="62"/>
    </row>
    <row r="30" spans="38:44" x14ac:dyDescent="0.2">
      <c r="AL30" s="167"/>
      <c r="AM30" s="180"/>
      <c r="AN30" s="180"/>
      <c r="AO30" s="180"/>
      <c r="AP30" s="48" t="s">
        <v>57</v>
      </c>
      <c r="AQ30" s="48" t="s">
        <v>111</v>
      </c>
      <c r="AR30" s="62"/>
    </row>
    <row r="31" spans="38:44" x14ac:dyDescent="0.2">
      <c r="AL31" s="167"/>
      <c r="AM31" s="180"/>
      <c r="AN31" s="180"/>
      <c r="AO31" s="180"/>
      <c r="AP31" s="48" t="s">
        <v>58</v>
      </c>
      <c r="AQ31" s="48" t="s">
        <v>112</v>
      </c>
      <c r="AR31" s="62"/>
    </row>
    <row r="32" spans="38:44" x14ac:dyDescent="0.2">
      <c r="AL32" s="167"/>
      <c r="AM32" s="180"/>
      <c r="AN32" s="180"/>
      <c r="AO32" s="180"/>
      <c r="AP32" s="48" t="s">
        <v>103</v>
      </c>
      <c r="AQ32" s="48" t="s">
        <v>113</v>
      </c>
      <c r="AR32" s="62"/>
    </row>
    <row r="33" spans="38:44" ht="42.75" x14ac:dyDescent="0.2">
      <c r="AL33" s="167"/>
      <c r="AM33" s="44" t="s">
        <v>69</v>
      </c>
      <c r="AN33" s="44" t="s">
        <v>233</v>
      </c>
      <c r="AO33" s="42" t="s">
        <v>95</v>
      </c>
      <c r="AP33" s="48"/>
      <c r="AQ33" s="48"/>
      <c r="AR33" s="78" t="s">
        <v>298</v>
      </c>
    </row>
    <row r="34" spans="38:44" ht="15" customHeight="1" x14ac:dyDescent="0.2">
      <c r="AL34" s="167"/>
      <c r="AM34" s="167" t="s">
        <v>114</v>
      </c>
      <c r="AN34" s="167" t="s">
        <v>234</v>
      </c>
      <c r="AO34" s="166" t="s">
        <v>96</v>
      </c>
      <c r="AP34" s="48" t="s">
        <v>55</v>
      </c>
      <c r="AQ34" s="48" t="s">
        <v>104</v>
      </c>
      <c r="AR34" s="179" t="s">
        <v>301</v>
      </c>
    </row>
    <row r="35" spans="38:44" x14ac:dyDescent="0.2">
      <c r="AL35" s="167"/>
      <c r="AM35" s="167"/>
      <c r="AN35" s="167"/>
      <c r="AO35" s="166"/>
      <c r="AP35" s="48" t="s">
        <v>56</v>
      </c>
      <c r="AQ35" s="48" t="s">
        <v>105</v>
      </c>
      <c r="AR35" s="96"/>
    </row>
    <row r="36" spans="38:44" x14ac:dyDescent="0.2">
      <c r="AL36" s="167"/>
      <c r="AM36" s="180"/>
      <c r="AN36" s="180"/>
      <c r="AO36" s="180"/>
      <c r="AP36" s="48" t="s">
        <v>57</v>
      </c>
      <c r="AQ36" s="48" t="s">
        <v>106</v>
      </c>
      <c r="AR36" s="96"/>
    </row>
    <row r="37" spans="38:44" x14ac:dyDescent="0.2">
      <c r="AL37" s="167"/>
      <c r="AM37" s="180"/>
      <c r="AN37" s="180"/>
      <c r="AO37" s="180"/>
      <c r="AP37" s="48" t="s">
        <v>58</v>
      </c>
      <c r="AQ37" s="48" t="s">
        <v>107</v>
      </c>
      <c r="AR37" s="96"/>
    </row>
    <row r="38" spans="38:44" x14ac:dyDescent="0.2">
      <c r="AL38" s="167"/>
      <c r="AM38" s="180"/>
      <c r="AN38" s="180"/>
      <c r="AO38" s="180"/>
      <c r="AP38" s="48" t="s">
        <v>103</v>
      </c>
      <c r="AQ38" s="48" t="s">
        <v>108</v>
      </c>
      <c r="AR38" s="96"/>
    </row>
    <row r="39" spans="38:44" ht="42.75" x14ac:dyDescent="0.2">
      <c r="AL39" s="167"/>
      <c r="AM39" s="44" t="s">
        <v>70</v>
      </c>
      <c r="AN39" s="44" t="s">
        <v>235</v>
      </c>
      <c r="AO39" s="42" t="s">
        <v>97</v>
      </c>
      <c r="AP39" s="48"/>
      <c r="AQ39" s="48"/>
      <c r="AR39" s="78" t="s">
        <v>302</v>
      </c>
    </row>
    <row r="40" spans="38:44" x14ac:dyDescent="0.2">
      <c r="AL40" s="183"/>
      <c r="AM40" s="49" t="s">
        <v>83</v>
      </c>
      <c r="AN40" s="49" t="s">
        <v>236</v>
      </c>
      <c r="AO40" s="50" t="s">
        <v>99</v>
      </c>
      <c r="AP40" s="51"/>
      <c r="AQ40" s="51"/>
      <c r="AR40" s="78" t="s">
        <v>303</v>
      </c>
    </row>
    <row r="41" spans="38:44" ht="68.25" customHeight="1" x14ac:dyDescent="0.2">
      <c r="AL41" s="181" t="s">
        <v>138</v>
      </c>
      <c r="AM41" s="45" t="s">
        <v>101</v>
      </c>
      <c r="AN41" s="45" t="s">
        <v>169</v>
      </c>
      <c r="AO41" s="46" t="s">
        <v>166</v>
      </c>
      <c r="AP41" s="47"/>
      <c r="AQ41" s="47" t="s">
        <v>168</v>
      </c>
      <c r="AR41" s="62"/>
    </row>
    <row r="42" spans="38:44" x14ac:dyDescent="0.2">
      <c r="AL42" s="181"/>
      <c r="AM42" s="45" t="s">
        <v>100</v>
      </c>
      <c r="AN42" s="45" t="s">
        <v>170</v>
      </c>
      <c r="AO42" s="55" t="s">
        <v>167</v>
      </c>
      <c r="AP42" s="47"/>
      <c r="AQ42" s="47"/>
      <c r="AR42" s="62"/>
    </row>
    <row r="43" spans="38:44" x14ac:dyDescent="0.2">
      <c r="AL43" s="181"/>
      <c r="AM43" s="49" t="s">
        <v>83</v>
      </c>
      <c r="AN43" s="49" t="s">
        <v>171</v>
      </c>
      <c r="AO43" s="50" t="s">
        <v>99</v>
      </c>
      <c r="AP43" s="51"/>
      <c r="AQ43" s="51"/>
      <c r="AR43" s="62"/>
    </row>
  </sheetData>
  <mergeCells count="36">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 ref="AL41:AL43"/>
    <mergeCell ref="AM28:AM32"/>
    <mergeCell ref="AM9:AM10"/>
    <mergeCell ref="AM11:AM14"/>
    <mergeCell ref="AM15:AM16"/>
    <mergeCell ref="AL9:AL20"/>
    <mergeCell ref="AL21:AL27"/>
    <mergeCell ref="AL28:AL40"/>
    <mergeCell ref="AR34:AR38"/>
    <mergeCell ref="Z6:AG6"/>
    <mergeCell ref="AO9:AO10"/>
    <mergeCell ref="AO11:AO14"/>
    <mergeCell ref="AO15:AO16"/>
    <mergeCell ref="AN9:AN10"/>
    <mergeCell ref="AN11:AN14"/>
    <mergeCell ref="AN15:AN16"/>
    <mergeCell ref="AO28:AO32"/>
    <mergeCell ref="AN28:AN32"/>
    <mergeCell ref="AM34:AM38"/>
    <mergeCell ref="AN34:AN38"/>
    <mergeCell ref="AO34:AO38"/>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4.25" x14ac:dyDescent="0.2"/>
  <cols>
    <col min="3" max="3" width="12.625" customWidth="1"/>
    <col min="4" max="4" width="10.75" customWidth="1"/>
    <col min="5" max="5" width="36.75" customWidth="1"/>
    <col min="6" max="6" width="255.375" customWidth="1"/>
    <col min="7" max="7" width="6.75" customWidth="1"/>
  </cols>
  <sheetData>
    <row r="3" spans="5:5" ht="51.75" customHeight="1" x14ac:dyDescent="0.2">
      <c r="E3" s="3"/>
    </row>
    <row r="4" spans="5:5" ht="15" x14ac:dyDescent="0.2">
      <c r="E4" s="3"/>
    </row>
    <row r="5" spans="5:5" ht="30" customHeight="1" x14ac:dyDescent="0.2"/>
    <row r="6" spans="5:5" ht="27" customHeight="1" x14ac:dyDescent="0.2"/>
    <row r="7" spans="5:5" ht="32.25" customHeight="1" x14ac:dyDescent="0.2"/>
    <row r="8" spans="5:5" ht="32.25" customHeight="1" x14ac:dyDescent="0.2"/>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70" zoomScaleNormal="70" workbookViewId="0">
      <selection activeCell="K5" sqref="K5"/>
    </sheetView>
  </sheetViews>
  <sheetFormatPr defaultRowHeight="14.25" x14ac:dyDescent="0.2"/>
  <cols>
    <col min="3" max="3" width="12.625" customWidth="1"/>
    <col min="4" max="4" width="10.75" customWidth="1"/>
    <col min="5" max="5" width="36.75" customWidth="1"/>
    <col min="6" max="6" width="33" customWidth="1"/>
    <col min="7" max="7" width="17" customWidth="1"/>
    <col min="8" max="8" width="15.25" customWidth="1"/>
    <col min="9" max="9" width="73.75" customWidth="1"/>
  </cols>
  <sheetData>
    <row r="2" spans="5:9" ht="96" customHeight="1" x14ac:dyDescent="0.2">
      <c r="E2" s="3"/>
      <c r="F2" s="184" t="s">
        <v>185</v>
      </c>
      <c r="G2" s="185"/>
      <c r="H2" s="185"/>
      <c r="I2" s="185"/>
    </row>
    <row r="3" spans="5:9" ht="15" x14ac:dyDescent="0.2">
      <c r="E3" s="3"/>
      <c r="F3" s="62"/>
      <c r="G3" s="62" t="s">
        <v>175</v>
      </c>
      <c r="H3" s="62" t="s">
        <v>177</v>
      </c>
      <c r="I3" s="62" t="s">
        <v>178</v>
      </c>
    </row>
    <row r="4" spans="5:9" ht="30" customHeight="1" x14ac:dyDescent="0.2">
      <c r="F4" s="62" t="s">
        <v>173</v>
      </c>
      <c r="G4" s="62" t="s">
        <v>176</v>
      </c>
      <c r="H4" s="62" t="s">
        <v>179</v>
      </c>
      <c r="I4" s="62" t="s">
        <v>180</v>
      </c>
    </row>
    <row r="5" spans="5:9" ht="27" customHeight="1" x14ac:dyDescent="0.2">
      <c r="F5" s="62" t="s">
        <v>174</v>
      </c>
      <c r="G5" s="62" t="s">
        <v>176</v>
      </c>
      <c r="H5" s="62" t="s">
        <v>181</v>
      </c>
      <c r="I5" s="62" t="s">
        <v>183</v>
      </c>
    </row>
    <row r="6" spans="5:9" ht="32.25" customHeight="1" x14ac:dyDescent="0.2">
      <c r="F6" s="62" t="s">
        <v>172</v>
      </c>
      <c r="G6" s="62" t="s">
        <v>176</v>
      </c>
      <c r="H6" s="62" t="s">
        <v>182</v>
      </c>
      <c r="I6" s="62" t="s">
        <v>184</v>
      </c>
    </row>
    <row r="7" spans="5:9" ht="32.25" customHeight="1" x14ac:dyDescent="0.2"/>
  </sheetData>
  <mergeCells count="1">
    <mergeCell ref="F2:I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20</vt:i4>
      </vt:variant>
    </vt:vector>
  </HeadingPairs>
  <TitlesOfParts>
    <vt:vector size="30" baseType="lpstr">
      <vt:lpstr>Version-control</vt:lpstr>
      <vt:lpstr>ICD</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Izkovsky Guy</cp:lastModifiedBy>
  <dcterms:created xsi:type="dcterms:W3CDTF">2015-06-05T18:17:20Z</dcterms:created>
  <dcterms:modified xsi:type="dcterms:W3CDTF">2025-09-01T08:23:53Z</dcterms:modified>
</cp:coreProperties>
</file>