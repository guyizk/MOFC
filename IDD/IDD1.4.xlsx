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13_ncr:1_{B7D25EB1-8851-496E-B093-206D23933AD5}" xr6:coauthVersionLast="36" xr6:coauthVersionMax="47" xr10:uidLastSave="{00000000-0000-0000-0000-000000000000}"/>
  <bookViews>
    <workbookView xWindow="0" yWindow="0" windowWidth="24915" windowHeight="7980"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<sst xmlns="http://schemas.openxmlformats.org/spreadsheetml/2006/main" count="550" uniqueCount="322">
  <si>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</si>
  <si>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</si>
  <si>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</si>
  <si>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</si>
  <si>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</si>
  <si>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</si>
  <si>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</si>
  <si>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</si>
  <si>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</si>
  <si>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</si>
  <si>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</si>
  <si>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</si>
  <si>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</si>
  <si>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</si>
  <si>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</si>
  <si>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</si>
  <si>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</si>
  <si>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</si>
  <si>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</si>
  <si>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</si>
  <si>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</si>
  <si>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</si>
  <si>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</si>
  <si>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</si>
  <si>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</si>
  <si>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</si>
  <si>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</si>
  <si>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</si>
  <si>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</si>
  <si>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</si>
  <si>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</si>
  <si>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</si>
  <si>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</si>
  <si>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</si>
  <si>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</si>
  <si>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</si>
  <si>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</si>
  <si>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</si>
  <si>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</si>
  <si>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</si>
  <si>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</si>
  <si>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</si>
  <si>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</si>
  <si>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</si>
  <si>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</si>
  <si>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</si>
  <si>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</si>
  <si>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</si>
  <si>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</si>
  <si>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</si>
  <si>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</si>
  <si>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</si>
  <si>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</si>
  <si>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</si>
  <si>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</si>
  <si>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</si>
  <si>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</si>
  <si>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</si>
  <si>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</si>
  <si>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</si>
  <si>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</si>
  <si>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</si>
  <si>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</si>
  <si>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</si>
  <si>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</si>
  <si>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</si>
  <si>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</si>
  <si>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</si>
  <si>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</si>
  <si>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</si>
  <si>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</si>
  <si>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</si>
  <si>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</si>
  <si>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</si>
  <si>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</si>
  <si>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</si>
  <si>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</si>
  <si>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</si>
  <si>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</si>
  <si>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</si>
  <si>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</si>
  <si>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</si>
  <si>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</si>
  <si>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</si>
  <si>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[23:16]</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</si>
  <si>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</si>
  <si>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</si>
  <si>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</si>
  <si>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</si>
  <si>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</si>
  <si>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</si>
  <si>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</si>
  <si>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</si>
  <si>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</si>
  <si>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</si>
  <si>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</si>
  <si>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</si>
  <si>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</si>
  <si>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</si>
  <si>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</si>
  <si>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</si>
  <si>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</si>
  <si>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</si>
  <si>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</si>
  <si>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</si>
  <si>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</si>
  <si>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</si>
  <si>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</si>
  <si>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</si>
  <si>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</si>
  <si>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</si>
  <si>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</si>
  <si>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</si>
  <si>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</si>
  <si>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</si>
  <si>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</si>
  <si>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</si>
  <si>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</si>
  <si>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</si>
  <si>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</si>
  <si>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</si>
  <si>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</si>
  <si>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</si>
  <si>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</si>
  <si>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</si>
  <si>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</si>
  <si>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</si>
  <si>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</si>
  <si>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</si>
  <si>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</si>
  <si>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</si>
  <si>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</si>
  <si>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</si>
  <si>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</si>
  <si>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</si>
  <si>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</si>
  <si>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</si>
  <si>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</si>
  <si>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</si>
  <si>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</si>
  <si>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</si>
  <si>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</si>
  <si>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</si>
  <si>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</si>
  <si>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</si>
  <si>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</si>
  <si>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</si>
  <si>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</si>
  <si>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</si>
  <si>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</si>
  <si>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</si>
  <si>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</si>
  <si>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</si>
  <si>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</si>
  <si>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</si>
  <si>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</si>
  <si>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</si>
  <si>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</si>
  <si>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</si>
  <si>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</si>
  <si>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</si>
  <si>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</si>
  <si>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</si>
  <si>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[9:0]</t>
  </si>
  <si>
    <t>Remarks/Enums</t>
  </si>
  <si>
    <t>[17]</t>
  </si>
  <si>
    <t>[16]</t>
  </si>
  <si>
    <t>Register value range: 0 to 50</t>
  </si>
  <si>
    <t xml:space="preserve">
Register value range: 0(500[mhz])  to 700(18000[mhz])</t>
  </si>
  <si>
    <r>
      <t xml:space="preserve">Sets the local oscillator (LO) frequency for the bit output
LSB = 25 MHz per step
</t>
    </r>
    <r>
      <rPr>
        <b/>
        <i/>
        <sz val="11"/>
        <color theme="1"/>
        <rFont val="Arial"/>
        <family val="2"/>
        <scheme val="minor"/>
      </rPr>
      <t>BIT LO Frequency (MHz) = 500 + (Register_Value × 25)</t>
    </r>
    <r>
      <rPr>
        <sz val="11"/>
        <color theme="1"/>
        <rFont val="Arial"/>
        <family val="2"/>
        <scheme val="minor"/>
      </rPr>
      <t xml:space="preserve">
Frequency range: 500 MHz to 18,000 MHz</t>
    </r>
  </si>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</sst>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81">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0" fillId="0" borderId="1" xfId="0" applyBorder="1" applyAlignment="1"/>
    <xf numFmtId="0" fontId="0" fillId="0" borderId="6" xfId="0" applyBorder="1" applyAlignment="1"/>
    <xf numFmtId="0" fontId="0" fillId="0" borderId="23" xfId="0" applyBorder="1" applyAlignment="1"/>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5"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 fillId="3" borderId="1" xfId="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9" xfId="0" applyFont="1" applyFill="1" applyBorder="1" applyAlignment="1">
      <alignment horizontal="center" vertical="center" wrapText="1"/>
    </xf>
    <xf numFmtId="0" fontId="4" fillId="12" borderId="37"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49" fontId="0" fillId="10" borderId="1" xfId="0" applyNumberFormat="1" applyFill="1" applyBorder="1" applyAlignment="1">
      <alignment horizontal="center" vertical="center"/>
    </xf>
    <xf numFmtId="0" fontId="0" fillId="9" borderId="1" xfId="0" applyFill="1" applyBorder="1"/>
    <xf numFmtId="0" fontId="0" fillId="10" borderId="1" xfId="0" applyFill="1" applyBorder="1" applyAlignment="1">
      <alignment horizontal="center" vertical="center"/>
    </xf>
    <xf numFmtId="0" fontId="0" fillId="13" borderId="1" xfId="0" applyFill="1" applyBorder="1" applyAlignment="1"/>
    <xf numFmtId="0" fontId="0" fillId="0" borderId="0" xfId="0" applyAlignment="1">
      <alignment wrapText="1"/>
    </xf>
    <xf numFmtId="0" fontId="0" fillId="0" borderId="0" xfId="0" applyAlignment="1"/>
    <xf numFmtId="0" fontId="5" fillId="15" borderId="1" xfId="0" applyFont="1" applyFill="1" applyBorder="1" applyAlignment="1">
      <alignment horizontal="center" vertical="center" textRotation="180"/>
    </xf>
    <xf numFmtId="0" fontId="0" fillId="15" borderId="0" xfId="0" applyFill="1"/>
    <xf numFmtId="0" fontId="0" fillId="0" borderId="3" xfId="0" applyFill="1" applyBorder="1"/>
    <xf numFmtId="0" fontId="0" fillId="0" borderId="40" xfId="0" applyBorder="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2252382</xdr:colOff>
      <xdr:row>11</xdr:row>
      <xdr:rowOff>145677</xdr:rowOff>
    </xdr:from>
    <xdr:to>
      <xdr:col>33</xdr:col>
      <xdr:colOff>380999</xdr:colOff>
      <xdr:row>43</xdr:row>
      <xdr:rowOff>31528</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1235" y="2689412"/>
          <a:ext cx="13189323" cy="5623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14</xdr:col>
      <xdr:colOff>291353</xdr:colOff>
      <xdr:row>2</xdr:row>
      <xdr:rowOff>666601</xdr:rowOff>
    </xdr:from>
    <xdr:to>
      <xdr:col>19</xdr:col>
      <xdr:colOff>11204</xdr:colOff>
      <xdr:row>15</xdr:row>
      <xdr:rowOff>106082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a:off x="11687735" y="1025189"/>
            <a:ext cx="1512793" cy="2784811"/>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358586</xdr:colOff>
      <xdr:row>2</xdr:row>
      <xdr:rowOff>734280</xdr:rowOff>
    </xdr:from>
    <xdr:to>
      <xdr:col>16</xdr:col>
      <xdr:colOff>145673</xdr:colOff>
      <xdr:row>22</xdr:row>
      <xdr:rowOff>63500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97886" y="1089880"/>
            <a:ext cx="2365187" cy="3913920"/>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15</xdr:col>
      <xdr:colOff>177799</xdr:colOff>
      <xdr:row>3</xdr:row>
      <xdr:rowOff>45280</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12026899" y="1150180"/>
            <a:ext cx="4201335" cy="3246309"/>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19</xdr:col>
      <xdr:colOff>11206</xdr:colOff>
      <xdr:row>2</xdr:row>
      <xdr:rowOff>649942</xdr:rowOff>
    </xdr:from>
    <xdr:to>
      <xdr:col>23</xdr:col>
      <xdr:colOff>56030</xdr:colOff>
      <xdr:row>16</xdr:row>
      <xdr:rowOff>27642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3200530" y="1008530"/>
            <a:ext cx="1479176" cy="290232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4345 0 22269,'-4337'7721'0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6549 1 24575,'4'475'0,"-11"516"0,-92-406-1,-79-5 9,-5 20-132,-258 798-463,106-480 587,27-253 150,-71-6 150,-124 243-46,175-355-254,86-156 0,-344 548 0,542-884 0,-4-1 0,-5-3 0,-5 1 0,-140 93 0,-335 165 0,485-284 0,-3 0 0,-2-3 0,0 0 0,-5-1 0,2-2 0,-6-1 0,0-1 0,0-2 0,-70 13 0,53-20 0,0-1 0,-3-3 0,0-2 0,0 0 0,2-3 0,-90-7 0,-37 4 0,134 0 0,11 2 0,0 1 0,-64 4 0,115-4 0,1 1 0,-1 0 0,0 0 0,0 0 0,2 0 0,-2 1 0,0-1 0,0 2 0,2 0 0,-2-1 0,3 1 0,-1 0 0,0 0 0,0 0 0,0 2 0,0-2 0,-10 9 0,14-9 0,3 1 0,0 0 0,-1-1 0,1 1 0,0 0 0,0-1 0,2 2 0,-2-2 0,2 1 0,0 0 0,0 0 0,2-1 0,-2 2 0,2-2 0,0 0 0,-2 2 0,2-2 0,3 0 0,-3 2 0,0-2 0,3 0 0,-1 0 0,1 0 0,-1 0 0,7 4 0,7 5 0,-1-1 0,3-1 0,0 1 0,2-1 0,30 10 0,-30-12 0,98 31 0,-114-37 0,1 0 0,2-1 0,-3 1 0,3-1 0,-2 0 0,2 1 0,-1-1 0,-1-1 0,2 1 0,0-1 0,0 0 0,-3 0 0,19 0 0,-23-1 0,2 0 0,-2 1 0,1-2 0,-1 1 0,2 0 0,-2 0 0,1 0 0,-1 0 0,0 0 0,0 0 0,0 0 0,1 0 0,-1-1 0,0 1 0,-2-1 0,2 1 0,0 0 0,-2-1 0,3 1 0,-3 0 0,2-2 0,-2 2 0,0-1 0,0 1 0,0-1 0,2 1 0,-2-1 0,0 0 0,-2 0 0,2 1 0,-2-3 0,-20-56 0,19 57 0,-76-105 0,61 86 0,-2 1 0,5 0 0,2-3 0,2 2 0,0-1 0,2 0 0,4 0 0,-1-32 0,8 51 7,-2-2-1,2 1 0,0-1 0,3 2 1,-3-2-1,2 2 0,1-1 1,-1 0-1,1 1 0,1-2 1,-1 2-1,1-1 0,1 2 0,2-1 1,-3-1-1,1 2 0,2 0 1,13-6-1,7 0-303,-1 0 0,1 2 0,2-1 0,50-7 0,0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24 1 24575,'-3'5'0,"1"-1"0,-1 2 0,1-1 0,1 0 0,-1 1 0,0 0 0,1-1 0,0 1 0,0 0 0,0-1 0,1 1 0,-1 1 0,1-2 0,0 10 0,-1 5 0,-1 20 0,1 0 0,2 0 0,0 0 0,2 0 0,1 0 0,1 0 0,2-2 0,0 1 0,3-1 0,0-1 0,0 0 0,25 56 0,-9-33 0,2 0 0,2-3 0,1-1 0,2-2 0,2-3 0,2-1 0,0-3 0,3-3 0,58 52 0,-16-28 0,2-4 0,178 93 0,198 29 0,54-56-361,6-44-60,-162-29 515,1212 272-94,-492-90-223,-124-5-964,-139-30 1177,-623-164-248,187 47 15,-296-62 556,-1 7 1,123 69-1,459 294 1356,-58-10-1669,-440-240 0,-57-45 0,324 252 0,-349-288 0,-45-36 0,-1 2 0,52 55 0,65 61 0,-106-104 0,84 95 0,-123-122 0,0 0 0,-1 1 0,16 32 0,-15-27 0,21 34 0,126 172 0,-143-206 0,-1 2 0,0 1 0,-1-1 0,-1 2 0,0 0 0,9 35 0,-7-21 0,0 0 0,29 58 0,29 79 0,-57-141 0,-9-18 0,0 0 0,0 0 0,2 18 0,-4-20 0,0 0 0,1-1 0,-1-1 0,2 1 0,8 21 0,14 25 0,-2 0 0,28 96 0,-43-117 0,11 64 0,-5-25 0,-8-35 0,-2 0 0,4 70 0,-3-32 0,5 111 0,-9 286 0,-5-252 0,2 391 0,-1-587 0,-1 2 0,-7 42 0,5-46 0,1 0 0,0 0 0,1 30 0,2-56 0,0 0 0,0 1 0,0-1 0,0 1 0,1-1 0,-1 1 0,0-1 0,1 0 0,-1 0 0,1 0 0,-1 1 0,2-1 0,-2 0 0,1 0 0,0 0 0,0 0 0,0 0 0,2 2 0,-2-3 0,0-1 0,0 1 0,0-1 0,0 1 0,0-1 0,0 1 0,0-1 0,0 0 0,1 0 0,-2 0 0,2 0 0,-1 0 0,0 0 0,0 0 0,0-1 0,0 1 0,0-1 0,0 1 0,0-1 0,0 1 0,0-1 0,0 0 0,0 0 0,0 0 0,0 0 0,0 0 0,-1 0 0,2 0 0,-1-1 0,14-19 0,-1-2 0,0 1 0,-1-2 0,-1-1 0,12-32 0,6-11 0,-20 47 0,2-6 0,1 1 0,25-39 0,-38 66 0,0 0 0,0-1 0,0 1 0,0-1 0,0 1 0,0-1 0,0 1 0,0-1 0,0 1 0,0-1 0,0 1 0,0-1 0,0 1 0,0-1 0,0 1 0,1-1 0,-1 1 0,0-1 0,0 1 0,0-1 0,0 1 0,0-1 0,0 0 0,1 0 0,-1 0 0,1 1 0,-1-1 0,0 1 0,0-1 0,0 0 0,1 0 0,-1 1 0,1-1 0,-1 0 0,0 0 0,0 1 0,1-1 0,-1 0 0,1 0 0,-1 0 0,0 0 0,0 0 0,1 0 0,-1 0 0,1 0 0,-1 0 0,0 0 0,1 0 0,-1 0 0,1 0 0,-1-1 0,0 1 0,0 0 0,1 0 0,-1 0 0,1-1 0,-1 1 0,0 0 0,0-1 0,0 1 0,1 0 0,-1-1 0,0 1 0,1 0 0,-1 0 0,0 0 0,0-1 0,0 1 0,0-1 0,-2 40 0,-4-18 0,-1-1 0,0 0 0,-1-1 0,-1-1 0,1 1 0,-2-2 0,0 0 0,-1 0 0,-14 17 0,5-10 0,0-2 0,-1 0 0,0-2 0,-46 30 0,58-44 0,1-1 0,-1 0 0,0-1 0,-1 0 0,1-2 0,-1 0 0,1 0 0,-13 0 0,17-2 0,0-1 0,0 0 0,0 0 0,0-1 0,0 1 0,0-1 0,1 0 0,-1-1 0,0 0 0,1 0 0,0-1 0,0 1 0,0-1 0,-1 0 0,1-1 0,1 1 0,-6-11 0,-19-36 0,2-2 0,-28-75 0,16 35 0,18 48-1365,3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22269,'4216'8043'0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2"/>
  <sheetViews>
    <sheetView tabSelected="1" zoomScale="85" zoomScaleNormal="85" workbookViewId="0">
      <selection activeCell="C22" sqref="C22"/>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89" t="s">
        <v>192</v>
      </c>
      <c r="C2" s="62" t="s">
        <v>193</v>
      </c>
    </row>
    <row r="3" spans="2:3" x14ac:dyDescent="0.2">
      <c r="B3" s="89"/>
      <c r="C3" s="62" t="s">
        <v>194</v>
      </c>
    </row>
    <row r="4" spans="2:3" x14ac:dyDescent="0.2">
      <c r="B4" s="89"/>
      <c r="C4" s="62" t="s">
        <v>195</v>
      </c>
    </row>
    <row r="5" spans="2:3" x14ac:dyDescent="0.2">
      <c r="B5" s="89"/>
      <c r="C5" s="62" t="s">
        <v>196</v>
      </c>
    </row>
    <row r="6" spans="2:3" x14ac:dyDescent="0.2">
      <c r="B6" s="89"/>
      <c r="C6" s="62" t="s">
        <v>197</v>
      </c>
    </row>
    <row r="7" spans="2:3" x14ac:dyDescent="0.2">
      <c r="B7" s="89"/>
      <c r="C7" s="77" t="s">
        <v>236</v>
      </c>
    </row>
    <row r="8" spans="2:3" x14ac:dyDescent="0.2">
      <c r="B8" s="90" t="s">
        <v>243</v>
      </c>
      <c r="C8" s="77" t="s">
        <v>301</v>
      </c>
    </row>
    <row r="9" spans="2:3" x14ac:dyDescent="0.2">
      <c r="B9" s="91"/>
      <c r="C9" s="62" t="s">
        <v>302</v>
      </c>
    </row>
    <row r="10" spans="2:3" x14ac:dyDescent="0.2">
      <c r="B10" s="91"/>
      <c r="C10" s="62" t="s">
        <v>303</v>
      </c>
    </row>
    <row r="11" spans="2:3" ht="15" thickBot="1" x14ac:dyDescent="0.25">
      <c r="B11" s="91"/>
      <c r="C11" s="77" t="s">
        <v>298</v>
      </c>
    </row>
    <row r="12" spans="2:3" ht="15" thickBot="1" x14ac:dyDescent="0.25">
      <c r="B12" s="180" t="s">
        <v>320</v>
      </c>
      <c r="C12" s="179" t="s">
        <v>321</v>
      </c>
    </row>
  </sheetData>
  <mergeCells count="2">
    <mergeCell ref="B2:B7"/>
    <mergeCell ref="B8: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6"/>
      <c r="E5" s="79" t="s">
        <v>244</v>
      </c>
      <c r="F5" s="79" t="s">
        <v>245</v>
      </c>
      <c r="G5" s="79" t="s">
        <v>246</v>
      </c>
      <c r="H5" s="79" t="s">
        <v>247</v>
      </c>
      <c r="I5" s="87" t="s">
        <v>72</v>
      </c>
      <c r="J5" s="79" t="s">
        <v>316</v>
      </c>
    </row>
    <row r="6" spans="4:10" ht="15" thickBot="1" x14ac:dyDescent="0.25">
      <c r="D6" s="92" t="s">
        <v>310</v>
      </c>
      <c r="E6" s="80">
        <v>1</v>
      </c>
      <c r="F6" s="81" t="s">
        <v>248</v>
      </c>
      <c r="G6" s="81" t="s">
        <v>249</v>
      </c>
      <c r="H6" s="81" t="s">
        <v>250</v>
      </c>
      <c r="I6" s="85" t="s">
        <v>251</v>
      </c>
      <c r="J6" s="81"/>
    </row>
    <row r="7" spans="4:10" ht="15" thickBot="1" x14ac:dyDescent="0.25">
      <c r="D7" s="93"/>
      <c r="E7" s="80">
        <v>2</v>
      </c>
      <c r="F7" s="81" t="s">
        <v>252</v>
      </c>
      <c r="G7" s="81" t="s">
        <v>249</v>
      </c>
      <c r="H7" s="81" t="s">
        <v>250</v>
      </c>
      <c r="I7" s="85" t="s">
        <v>253</v>
      </c>
      <c r="J7" s="81"/>
    </row>
    <row r="8" spans="4:10" ht="15" thickBot="1" x14ac:dyDescent="0.25">
      <c r="D8" s="93"/>
      <c r="E8" s="80">
        <v>3</v>
      </c>
      <c r="F8" s="81" t="s">
        <v>254</v>
      </c>
      <c r="G8" s="81" t="s">
        <v>249</v>
      </c>
      <c r="H8" s="81" t="s">
        <v>250</v>
      </c>
      <c r="I8" s="85" t="s">
        <v>255</v>
      </c>
      <c r="J8" s="81"/>
    </row>
    <row r="9" spans="4:10" ht="15" thickBot="1" x14ac:dyDescent="0.25">
      <c r="D9" s="93"/>
      <c r="E9" s="80">
        <v>4</v>
      </c>
      <c r="F9" s="81" t="s">
        <v>256</v>
      </c>
      <c r="G9" s="81" t="s">
        <v>249</v>
      </c>
      <c r="H9" s="81" t="s">
        <v>250</v>
      </c>
      <c r="I9" s="85" t="s">
        <v>257</v>
      </c>
      <c r="J9" s="81"/>
    </row>
    <row r="10" spans="4:10" ht="15" thickBot="1" x14ac:dyDescent="0.25">
      <c r="D10" s="93"/>
      <c r="E10" s="80">
        <v>5</v>
      </c>
      <c r="F10" s="81" t="s">
        <v>258</v>
      </c>
      <c r="G10" s="81" t="s">
        <v>259</v>
      </c>
      <c r="H10" s="81" t="s">
        <v>250</v>
      </c>
      <c r="I10" s="85" t="s">
        <v>260</v>
      </c>
      <c r="J10" s="81"/>
    </row>
    <row r="11" spans="4:10" ht="15" thickBot="1" x14ac:dyDescent="0.25">
      <c r="D11" s="93"/>
      <c r="E11" s="80">
        <v>6</v>
      </c>
      <c r="F11" s="81" t="s">
        <v>261</v>
      </c>
      <c r="G11" s="81" t="s">
        <v>259</v>
      </c>
      <c r="H11" s="81" t="s">
        <v>250</v>
      </c>
      <c r="I11" s="85" t="s">
        <v>262</v>
      </c>
      <c r="J11" s="81"/>
    </row>
    <row r="12" spans="4:10" ht="15" thickBot="1" x14ac:dyDescent="0.25">
      <c r="D12" s="93"/>
      <c r="E12" s="80">
        <v>7</v>
      </c>
      <c r="F12" s="81" t="s">
        <v>263</v>
      </c>
      <c r="G12" s="81" t="s">
        <v>249</v>
      </c>
      <c r="H12" s="81" t="s">
        <v>250</v>
      </c>
      <c r="I12" s="85" t="s">
        <v>264</v>
      </c>
      <c r="J12" s="81"/>
    </row>
    <row r="13" spans="4:10" ht="15" thickBot="1" x14ac:dyDescent="0.25">
      <c r="D13" s="93"/>
      <c r="E13" s="80">
        <v>8</v>
      </c>
      <c r="F13" s="81" t="s">
        <v>265</v>
      </c>
      <c r="G13" s="81" t="s">
        <v>249</v>
      </c>
      <c r="H13" s="81" t="s">
        <v>250</v>
      </c>
      <c r="I13" s="85" t="s">
        <v>266</v>
      </c>
      <c r="J13" s="81"/>
    </row>
    <row r="14" spans="4:10" ht="15" thickBot="1" x14ac:dyDescent="0.25">
      <c r="D14" s="93"/>
      <c r="E14" s="80">
        <v>9</v>
      </c>
      <c r="F14" s="81" t="s">
        <v>267</v>
      </c>
      <c r="G14" s="81" t="s">
        <v>249</v>
      </c>
      <c r="H14" s="81" t="s">
        <v>250</v>
      </c>
      <c r="I14" s="85" t="s">
        <v>268</v>
      </c>
      <c r="J14" s="81"/>
    </row>
    <row r="15" spans="4:10" ht="15" thickBot="1" x14ac:dyDescent="0.25">
      <c r="D15" s="93"/>
      <c r="E15" s="80">
        <v>10</v>
      </c>
      <c r="F15" s="81" t="s">
        <v>269</v>
      </c>
      <c r="G15" s="81" t="s">
        <v>249</v>
      </c>
      <c r="H15" s="81" t="s">
        <v>250</v>
      </c>
      <c r="I15" s="85" t="s">
        <v>270</v>
      </c>
      <c r="J15" s="81"/>
    </row>
    <row r="16" spans="4:10" ht="15" thickBot="1" x14ac:dyDescent="0.25">
      <c r="D16" s="93"/>
      <c r="E16" s="80">
        <v>11</v>
      </c>
      <c r="F16" s="81" t="s">
        <v>271</v>
      </c>
      <c r="G16" s="81" t="s">
        <v>259</v>
      </c>
      <c r="H16" s="81" t="s">
        <v>250</v>
      </c>
      <c r="I16" s="85" t="s">
        <v>272</v>
      </c>
      <c r="J16" s="81"/>
    </row>
    <row r="17" spans="4:10" ht="15" thickBot="1" x14ac:dyDescent="0.25">
      <c r="D17" s="94"/>
      <c r="E17" s="80">
        <v>12</v>
      </c>
      <c r="F17" s="81" t="s">
        <v>273</v>
      </c>
      <c r="G17" s="81" t="s">
        <v>259</v>
      </c>
      <c r="H17" s="81" t="s">
        <v>250</v>
      </c>
      <c r="I17" s="85" t="s">
        <v>274</v>
      </c>
      <c r="J17" s="81"/>
    </row>
    <row r="18" spans="4:10" ht="15" thickBot="1" x14ac:dyDescent="0.25">
      <c r="D18" s="92" t="s">
        <v>275</v>
      </c>
      <c r="E18" s="80">
        <v>13</v>
      </c>
      <c r="F18" s="81" t="s">
        <v>276</v>
      </c>
      <c r="G18" s="81" t="s">
        <v>259</v>
      </c>
      <c r="H18" s="81" t="s">
        <v>250</v>
      </c>
      <c r="I18" s="85" t="s">
        <v>277</v>
      </c>
      <c r="J18" s="81"/>
    </row>
    <row r="19" spans="4:10" ht="15" thickBot="1" x14ac:dyDescent="0.25">
      <c r="D19" s="95"/>
      <c r="E19" s="80">
        <v>14</v>
      </c>
      <c r="F19" s="81" t="s">
        <v>278</v>
      </c>
      <c r="G19" s="81" t="s">
        <v>259</v>
      </c>
      <c r="H19" s="81" t="s">
        <v>250</v>
      </c>
      <c r="I19" s="85" t="s">
        <v>279</v>
      </c>
      <c r="J19" s="81"/>
    </row>
    <row r="20" spans="4:10" ht="15" thickBot="1" x14ac:dyDescent="0.25">
      <c r="D20" s="95"/>
      <c r="E20" s="80">
        <v>15</v>
      </c>
      <c r="F20" s="81" t="s">
        <v>296</v>
      </c>
      <c r="G20" s="81" t="s">
        <v>280</v>
      </c>
      <c r="H20" s="81" t="s">
        <v>250</v>
      </c>
      <c r="I20" s="85" t="s">
        <v>281</v>
      </c>
      <c r="J20" s="81"/>
    </row>
    <row r="21" spans="4:10" ht="15" thickBot="1" x14ac:dyDescent="0.25">
      <c r="D21" s="95"/>
      <c r="E21" s="80">
        <v>16</v>
      </c>
      <c r="F21" s="81" t="s">
        <v>297</v>
      </c>
      <c r="G21" s="81" t="s">
        <v>280</v>
      </c>
      <c r="H21" s="81" t="s">
        <v>250</v>
      </c>
      <c r="I21" s="85" t="s">
        <v>282</v>
      </c>
      <c r="J21" s="81"/>
    </row>
    <row r="22" spans="4:10" ht="15" thickBot="1" x14ac:dyDescent="0.25">
      <c r="D22" s="95"/>
      <c r="E22" s="80">
        <v>17</v>
      </c>
      <c r="F22" s="82" t="s">
        <v>283</v>
      </c>
      <c r="G22" s="81" t="s">
        <v>284</v>
      </c>
      <c r="H22" s="81" t="s">
        <v>285</v>
      </c>
      <c r="I22" s="85" t="s">
        <v>286</v>
      </c>
      <c r="J22" s="81"/>
    </row>
    <row r="23" spans="4:10" ht="15" thickBot="1" x14ac:dyDescent="0.25">
      <c r="D23" s="95"/>
      <c r="E23" s="80">
        <v>18</v>
      </c>
      <c r="F23" s="81" t="s">
        <v>299</v>
      </c>
      <c r="G23" s="81" t="s">
        <v>280</v>
      </c>
      <c r="H23" s="81" t="s">
        <v>250</v>
      </c>
      <c r="I23" s="85" t="s">
        <v>281</v>
      </c>
      <c r="J23" s="78" t="s">
        <v>312</v>
      </c>
    </row>
    <row r="24" spans="4:10" ht="15" thickBot="1" x14ac:dyDescent="0.25">
      <c r="D24" s="96"/>
      <c r="E24" s="80">
        <v>19</v>
      </c>
      <c r="F24" s="81" t="s">
        <v>300</v>
      </c>
      <c r="G24" s="81" t="s">
        <v>280</v>
      </c>
      <c r="H24" s="81" t="s">
        <v>250</v>
      </c>
      <c r="I24" s="85" t="s">
        <v>282</v>
      </c>
      <c r="J24" s="78" t="s">
        <v>313</v>
      </c>
    </row>
    <row r="25" spans="4:10" ht="15" thickBot="1" x14ac:dyDescent="0.25">
      <c r="D25" s="97" t="s">
        <v>311</v>
      </c>
      <c r="E25" s="80">
        <v>20</v>
      </c>
      <c r="F25" s="84" t="s">
        <v>293</v>
      </c>
      <c r="G25" s="84" t="s">
        <v>280</v>
      </c>
      <c r="H25" s="84" t="s">
        <v>294</v>
      </c>
      <c r="I25" s="88" t="s">
        <v>295</v>
      </c>
      <c r="J25" s="78" t="s">
        <v>314</v>
      </c>
    </row>
    <row r="26" spans="4:10" ht="15" thickBot="1" x14ac:dyDescent="0.25">
      <c r="D26" s="95"/>
      <c r="E26" s="80">
        <v>21</v>
      </c>
      <c r="F26" s="82" t="s">
        <v>287</v>
      </c>
      <c r="G26" s="81" t="s">
        <v>284</v>
      </c>
      <c r="H26" s="81" t="s">
        <v>285</v>
      </c>
      <c r="I26" s="85" t="s">
        <v>288</v>
      </c>
      <c r="J26" s="81"/>
    </row>
    <row r="27" spans="4:10" ht="29.25" thickBot="1" x14ac:dyDescent="0.25">
      <c r="D27" s="96"/>
      <c r="E27" s="80">
        <v>22</v>
      </c>
      <c r="F27" s="83" t="s">
        <v>289</v>
      </c>
      <c r="G27" s="81" t="s">
        <v>259</v>
      </c>
      <c r="H27" s="81" t="s">
        <v>290</v>
      </c>
      <c r="I27" s="85" t="s">
        <v>291</v>
      </c>
      <c r="J27" s="81"/>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85" zoomScaleNormal="85" workbookViewId="0">
      <selection activeCell="AH22" sqref="AH2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154</v>
      </c>
    </row>
    <row r="2" spans="6:34" x14ac:dyDescent="0.2">
      <c r="F2" s="4" t="s">
        <v>40</v>
      </c>
      <c r="G2" s="5" t="s">
        <v>9</v>
      </c>
      <c r="H2" s="18"/>
      <c r="I2" s="4"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6:34" ht="47.25" x14ac:dyDescent="0.2">
      <c r="F3" s="6" t="s">
        <v>10</v>
      </c>
      <c r="G3" s="7" t="s">
        <v>28</v>
      </c>
      <c r="H3" s="20">
        <v>0</v>
      </c>
      <c r="I3" s="8" t="str">
        <f t="shared" ref="I3:I11" si="0">"0x" &amp; DEC2HEX(H3,2)</f>
        <v>0x00</v>
      </c>
      <c r="J3" s="138" t="s">
        <v>23</v>
      </c>
      <c r="K3" s="138"/>
      <c r="L3" s="138"/>
      <c r="M3" s="138"/>
      <c r="N3" s="138"/>
      <c r="O3" s="138"/>
      <c r="P3" s="138"/>
      <c r="Q3" s="138"/>
      <c r="R3" s="15" t="s">
        <v>41</v>
      </c>
      <c r="S3" s="138" t="s">
        <v>50</v>
      </c>
      <c r="T3" s="138"/>
      <c r="U3" s="15" t="s">
        <v>36</v>
      </c>
      <c r="V3" s="9">
        <v>0</v>
      </c>
      <c r="W3" s="15" t="s">
        <v>53</v>
      </c>
      <c r="X3" s="15" t="s">
        <v>20</v>
      </c>
      <c r="Y3" s="15" t="s">
        <v>19</v>
      </c>
      <c r="Z3" s="15" t="s">
        <v>18</v>
      </c>
      <c r="AA3" s="15" t="s">
        <v>17</v>
      </c>
      <c r="AB3" s="15" t="s">
        <v>16</v>
      </c>
      <c r="AC3" s="15" t="s">
        <v>15</v>
      </c>
      <c r="AD3" s="15" t="s">
        <v>14</v>
      </c>
      <c r="AE3" s="15" t="s">
        <v>13</v>
      </c>
      <c r="AF3" s="15" t="s">
        <v>12</v>
      </c>
      <c r="AG3" s="15" t="s">
        <v>11</v>
      </c>
      <c r="AH3" t="s">
        <v>157</v>
      </c>
    </row>
    <row r="4" spans="6:34" x14ac:dyDescent="0.2">
      <c r="F4" s="6" t="s">
        <v>37</v>
      </c>
      <c r="G4" s="7" t="s">
        <v>28</v>
      </c>
      <c r="H4" s="20">
        <v>1</v>
      </c>
      <c r="I4" s="8" t="str">
        <f t="shared" si="0"/>
        <v>0x01</v>
      </c>
      <c r="J4" s="138" t="s">
        <v>24</v>
      </c>
      <c r="K4" s="138"/>
      <c r="L4" s="138"/>
      <c r="M4" s="138"/>
      <c r="N4" s="138"/>
      <c r="O4" s="138"/>
      <c r="P4" s="138"/>
      <c r="Q4" s="138"/>
      <c r="R4" s="9"/>
      <c r="S4" s="138" t="s">
        <v>27</v>
      </c>
      <c r="T4" s="138"/>
      <c r="U4" s="138"/>
      <c r="V4" s="138"/>
      <c r="W4" s="138"/>
      <c r="X4" s="138" t="s">
        <v>26</v>
      </c>
      <c r="Y4" s="138"/>
      <c r="Z4" s="138"/>
      <c r="AA4" s="138"/>
      <c r="AB4" s="138" t="s">
        <v>25</v>
      </c>
      <c r="AC4" s="138"/>
      <c r="AD4" s="138"/>
      <c r="AE4" s="138"/>
      <c r="AF4" s="138"/>
      <c r="AG4" s="138"/>
    </row>
    <row r="5" spans="6:34" x14ac:dyDescent="0.2">
      <c r="F5" s="6" t="s">
        <v>38</v>
      </c>
      <c r="G5" s="7" t="s">
        <v>28</v>
      </c>
      <c r="H5" s="20">
        <v>2</v>
      </c>
      <c r="I5" s="8" t="str">
        <f t="shared" si="0"/>
        <v>0x02</v>
      </c>
      <c r="J5" s="9">
        <v>0</v>
      </c>
      <c r="K5" s="9">
        <v>0</v>
      </c>
      <c r="L5" s="9">
        <v>0</v>
      </c>
      <c r="M5" s="9">
        <v>0</v>
      </c>
      <c r="N5" s="127" t="s">
        <v>39</v>
      </c>
      <c r="O5" s="128"/>
      <c r="P5" s="128"/>
      <c r="Q5" s="128"/>
      <c r="R5" s="128"/>
      <c r="S5" s="128"/>
      <c r="T5" s="128"/>
      <c r="U5" s="128"/>
      <c r="V5" s="128"/>
      <c r="W5" s="128"/>
      <c r="X5" s="128"/>
      <c r="Y5" s="128"/>
      <c r="Z5" s="128"/>
      <c r="AA5" s="128"/>
      <c r="AB5" s="128"/>
      <c r="AC5" s="128"/>
      <c r="AD5" s="128"/>
      <c r="AE5" s="128"/>
      <c r="AF5" s="128"/>
      <c r="AG5" s="129"/>
    </row>
    <row r="6" spans="6:34" x14ac:dyDescent="0.2">
      <c r="F6" s="6" t="s">
        <v>29</v>
      </c>
      <c r="G6" s="7" t="s">
        <v>9</v>
      </c>
      <c r="H6" s="20">
        <v>3</v>
      </c>
      <c r="I6" s="8" t="str">
        <f t="shared" si="0"/>
        <v>0x03</v>
      </c>
      <c r="J6" s="138" t="s">
        <v>30</v>
      </c>
      <c r="K6" s="138"/>
      <c r="L6" s="138"/>
      <c r="M6" s="138"/>
      <c r="N6" s="138"/>
      <c r="O6" s="138"/>
      <c r="P6" s="138"/>
      <c r="Q6" s="138"/>
      <c r="R6" s="138"/>
      <c r="S6" s="138"/>
      <c r="T6" s="138"/>
      <c r="U6" s="138"/>
      <c r="V6" s="138"/>
      <c r="W6" s="138"/>
      <c r="X6" s="138"/>
      <c r="Y6" s="138"/>
      <c r="Z6" s="138"/>
      <c r="AA6" s="138"/>
      <c r="AB6" s="138"/>
      <c r="AC6" s="138"/>
      <c r="AD6" s="138"/>
      <c r="AE6" s="138"/>
      <c r="AF6" s="138"/>
      <c r="AG6" s="138"/>
    </row>
    <row r="7" spans="6:34" x14ac:dyDescent="0.2">
      <c r="F7" s="9" t="s">
        <v>83</v>
      </c>
      <c r="G7" s="56" t="s">
        <v>9</v>
      </c>
      <c r="H7" s="57">
        <v>4</v>
      </c>
      <c r="I7" s="58"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83</v>
      </c>
      <c r="G8" s="56" t="s">
        <v>9</v>
      </c>
      <c r="H8" s="57">
        <v>5</v>
      </c>
      <c r="I8" s="58"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6" t="s">
        <v>22</v>
      </c>
      <c r="G9" s="7" t="s">
        <v>9</v>
      </c>
      <c r="H9" s="20">
        <v>6</v>
      </c>
      <c r="I9" s="8" t="str">
        <f t="shared" si="0"/>
        <v>0x06</v>
      </c>
      <c r="J9" s="9">
        <v>0</v>
      </c>
      <c r="K9" s="9">
        <v>0</v>
      </c>
      <c r="L9" s="9">
        <v>0</v>
      </c>
      <c r="M9" s="9">
        <v>0</v>
      </c>
      <c r="N9" s="130" t="s">
        <v>148</v>
      </c>
      <c r="O9" s="131"/>
      <c r="P9" s="131"/>
      <c r="Q9" s="131"/>
      <c r="R9" s="131"/>
      <c r="S9" s="131"/>
      <c r="T9" s="131"/>
      <c r="U9" s="131"/>
      <c r="V9" s="131"/>
      <c r="W9" s="131"/>
      <c r="X9" s="131"/>
      <c r="Y9" s="132"/>
      <c r="Z9" s="130" t="s">
        <v>147</v>
      </c>
      <c r="AA9" s="131"/>
      <c r="AB9" s="131"/>
      <c r="AC9" s="131"/>
      <c r="AD9" s="131"/>
      <c r="AE9" s="132"/>
      <c r="AF9" s="127" t="s">
        <v>5</v>
      </c>
      <c r="AG9" s="137"/>
      <c r="AH9" t="s">
        <v>155</v>
      </c>
    </row>
    <row r="10" spans="6:34" ht="47.25" customHeight="1" thickBot="1" x14ac:dyDescent="0.25">
      <c r="F10" s="21" t="s">
        <v>21</v>
      </c>
      <c r="G10" s="22" t="s">
        <v>9</v>
      </c>
      <c r="H10" s="23">
        <v>7</v>
      </c>
      <c r="I10" s="24" t="str">
        <f t="shared" si="0"/>
        <v>0x07</v>
      </c>
      <c r="J10" s="61">
        <v>0</v>
      </c>
      <c r="K10" s="61">
        <v>0</v>
      </c>
      <c r="L10" s="61">
        <v>0</v>
      </c>
      <c r="M10" s="61">
        <v>0</v>
      </c>
      <c r="N10" s="61">
        <v>0</v>
      </c>
      <c r="O10" s="61">
        <v>0</v>
      </c>
      <c r="P10" s="15" t="s">
        <v>142</v>
      </c>
      <c r="Q10" s="15" t="s">
        <v>135</v>
      </c>
      <c r="R10" s="133" t="s">
        <v>200</v>
      </c>
      <c r="S10" s="134"/>
      <c r="T10" s="134"/>
      <c r="U10" s="134"/>
      <c r="V10" s="134"/>
      <c r="W10" s="135"/>
      <c r="X10" s="133" t="s">
        <v>199</v>
      </c>
      <c r="Y10" s="134"/>
      <c r="Z10" s="134"/>
      <c r="AA10" s="134"/>
      <c r="AB10" s="134"/>
      <c r="AC10" s="134"/>
      <c r="AD10" s="134"/>
      <c r="AE10" s="134"/>
      <c r="AF10" s="134"/>
      <c r="AG10" s="135"/>
      <c r="AH10" t="s">
        <v>156</v>
      </c>
    </row>
    <row r="11" spans="6:34" x14ac:dyDescent="0.2">
      <c r="F11" s="25" t="s">
        <v>43</v>
      </c>
      <c r="G11" s="26" t="s">
        <v>9</v>
      </c>
      <c r="H11" s="27">
        <v>8</v>
      </c>
      <c r="I11" s="28" t="str">
        <f t="shared" si="0"/>
        <v>0x08</v>
      </c>
      <c r="J11" s="98" t="s">
        <v>127</v>
      </c>
      <c r="K11" s="99"/>
      <c r="L11" s="99"/>
      <c r="M11" s="99"/>
      <c r="N11" s="99"/>
      <c r="O11" s="99"/>
      <c r="P11" s="100"/>
      <c r="Q11" s="100"/>
      <c r="R11" s="100"/>
      <c r="S11" s="100"/>
      <c r="T11" s="100"/>
      <c r="U11" s="100"/>
      <c r="V11" s="100"/>
      <c r="W11" s="100"/>
      <c r="X11" s="100"/>
      <c r="Y11" s="100"/>
      <c r="Z11" s="100"/>
      <c r="AA11" s="100"/>
      <c r="AB11" s="100"/>
      <c r="AC11" s="100"/>
      <c r="AD11" s="100"/>
      <c r="AE11" s="100"/>
      <c r="AF11" s="100"/>
      <c r="AG11" s="101"/>
      <c r="AH11" t="s">
        <v>159</v>
      </c>
    </row>
    <row r="12" spans="6:34" ht="15" x14ac:dyDescent="0.2">
      <c r="F12" s="108" t="s">
        <v>44</v>
      </c>
      <c r="G12" s="109"/>
      <c r="H12" s="109"/>
      <c r="I12" s="110"/>
      <c r="J12" s="102"/>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4"/>
    </row>
    <row r="13" spans="6:34" ht="15" thickBot="1" x14ac:dyDescent="0.25">
      <c r="F13" s="29" t="s">
        <v>119</v>
      </c>
      <c r="G13" s="30" t="s">
        <v>9</v>
      </c>
      <c r="H13" s="31">
        <v>11</v>
      </c>
      <c r="I13" s="32" t="str">
        <f>"0x" &amp; DEC2HEX(H13,2)</f>
        <v>0x0B</v>
      </c>
      <c r="J13" s="105"/>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7"/>
    </row>
    <row r="14" spans="6:34" x14ac:dyDescent="0.2">
      <c r="F14" s="33" t="s">
        <v>45</v>
      </c>
      <c r="G14" s="34" t="s">
        <v>9</v>
      </c>
      <c r="H14" s="35">
        <v>12</v>
      </c>
      <c r="I14" s="36" t="str">
        <f>"0x" &amp; DEC2HEX(H14,2)</f>
        <v>0x0C</v>
      </c>
      <c r="J14" s="111" t="s">
        <v>128</v>
      </c>
      <c r="K14" s="112"/>
      <c r="L14" s="112"/>
      <c r="M14" s="112"/>
      <c r="N14" s="112"/>
      <c r="O14" s="112"/>
      <c r="P14" s="113"/>
      <c r="Q14" s="113"/>
      <c r="R14" s="113"/>
      <c r="S14" s="113"/>
      <c r="T14" s="113"/>
      <c r="U14" s="113"/>
      <c r="V14" s="113"/>
      <c r="W14" s="113"/>
      <c r="X14" s="113"/>
      <c r="Y14" s="113"/>
      <c r="Z14" s="113"/>
      <c r="AA14" s="113"/>
      <c r="AB14" s="113"/>
      <c r="AC14" s="113"/>
      <c r="AD14" s="113"/>
      <c r="AE14" s="113"/>
      <c r="AF14" s="113"/>
      <c r="AG14" s="114"/>
    </row>
    <row r="15" spans="6:34" ht="15" x14ac:dyDescent="0.2">
      <c r="F15" s="121" t="s">
        <v>44</v>
      </c>
      <c r="G15" s="122"/>
      <c r="H15" s="122"/>
      <c r="I15" s="123"/>
      <c r="J15" s="115"/>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7"/>
    </row>
    <row r="16" spans="6:34" ht="15" thickBot="1" x14ac:dyDescent="0.25">
      <c r="F16" s="37" t="s">
        <v>120</v>
      </c>
      <c r="G16" s="38" t="s">
        <v>9</v>
      </c>
      <c r="H16" s="39">
        <v>15</v>
      </c>
      <c r="I16" s="40" t="str">
        <f>"0x" &amp; DEC2HEX(H16,2)</f>
        <v>0x0F</v>
      </c>
      <c r="J16" s="118"/>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20"/>
    </row>
    <row r="17" spans="6:33" x14ac:dyDescent="0.2">
      <c r="F17" s="25" t="s">
        <v>46</v>
      </c>
      <c r="G17" s="26" t="s">
        <v>9</v>
      </c>
      <c r="H17" s="27">
        <v>16</v>
      </c>
      <c r="I17" s="28" t="str">
        <f>"0x" &amp; DEC2HEX(H17,2)</f>
        <v>0x10</v>
      </c>
      <c r="J17" s="98" t="s">
        <v>129</v>
      </c>
      <c r="K17" s="99"/>
      <c r="L17" s="99"/>
      <c r="M17" s="99"/>
      <c r="N17" s="99"/>
      <c r="O17" s="99"/>
      <c r="P17" s="100"/>
      <c r="Q17" s="100"/>
      <c r="R17" s="100"/>
      <c r="S17" s="100"/>
      <c r="T17" s="100"/>
      <c r="U17" s="100"/>
      <c r="V17" s="100"/>
      <c r="W17" s="100"/>
      <c r="X17" s="100"/>
      <c r="Y17" s="100"/>
      <c r="Z17" s="100"/>
      <c r="AA17" s="100"/>
      <c r="AB17" s="100"/>
      <c r="AC17" s="100"/>
      <c r="AD17" s="100"/>
      <c r="AE17" s="100"/>
      <c r="AF17" s="100"/>
      <c r="AG17" s="101"/>
    </row>
    <row r="18" spans="6:33" ht="15" x14ac:dyDescent="0.2">
      <c r="F18" s="108" t="s">
        <v>44</v>
      </c>
      <c r="G18" s="109"/>
      <c r="H18" s="109"/>
      <c r="I18" s="110"/>
      <c r="J18" s="102"/>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4"/>
    </row>
    <row r="19" spans="6:33" ht="15" thickBot="1" x14ac:dyDescent="0.25">
      <c r="F19" s="29" t="s">
        <v>121</v>
      </c>
      <c r="G19" s="30" t="s">
        <v>9</v>
      </c>
      <c r="H19" s="31">
        <v>19</v>
      </c>
      <c r="I19" s="32" t="str">
        <f>"0x" &amp; DEC2HEX(H19,2)</f>
        <v>0x13</v>
      </c>
      <c r="J19" s="105"/>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7"/>
    </row>
    <row r="20" spans="6:33" x14ac:dyDescent="0.2">
      <c r="F20" s="33" t="s">
        <v>47</v>
      </c>
      <c r="G20" s="34" t="s">
        <v>9</v>
      </c>
      <c r="H20" s="35">
        <v>20</v>
      </c>
      <c r="I20" s="36" t="str">
        <f>"0x" &amp; DEC2HEX(H20,2)</f>
        <v>0x14</v>
      </c>
      <c r="J20" s="111" t="s">
        <v>130</v>
      </c>
      <c r="K20" s="112"/>
      <c r="L20" s="112"/>
      <c r="M20" s="112"/>
      <c r="N20" s="112"/>
      <c r="O20" s="112"/>
      <c r="P20" s="113"/>
      <c r="Q20" s="113"/>
      <c r="R20" s="113"/>
      <c r="S20" s="113"/>
      <c r="T20" s="113"/>
      <c r="U20" s="113"/>
      <c r="V20" s="113"/>
      <c r="W20" s="113"/>
      <c r="X20" s="113"/>
      <c r="Y20" s="113"/>
      <c r="Z20" s="113"/>
      <c r="AA20" s="113"/>
      <c r="AB20" s="113"/>
      <c r="AC20" s="113"/>
      <c r="AD20" s="113"/>
      <c r="AE20" s="113"/>
      <c r="AF20" s="113"/>
      <c r="AG20" s="114"/>
    </row>
    <row r="21" spans="6:33" ht="15" x14ac:dyDescent="0.2">
      <c r="F21" s="121" t="s">
        <v>44</v>
      </c>
      <c r="G21" s="122"/>
      <c r="H21" s="122"/>
      <c r="I21" s="123"/>
      <c r="J21" s="115"/>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7"/>
    </row>
    <row r="22" spans="6:33" ht="15" thickBot="1" x14ac:dyDescent="0.25">
      <c r="F22" s="37" t="s">
        <v>122</v>
      </c>
      <c r="G22" s="38" t="s">
        <v>9</v>
      </c>
      <c r="H22" s="39">
        <v>23</v>
      </c>
      <c r="I22" s="40" t="str">
        <f>"0x" &amp; DEC2HEX(H22,2)</f>
        <v>0x17</v>
      </c>
      <c r="J22" s="118"/>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20"/>
    </row>
    <row r="23" spans="6:33" x14ac:dyDescent="0.2">
      <c r="F23" s="25" t="s">
        <v>48</v>
      </c>
      <c r="G23" s="26" t="s">
        <v>9</v>
      </c>
      <c r="H23" s="27">
        <v>24</v>
      </c>
      <c r="I23" s="28" t="str">
        <f>"0x" &amp; DEC2HEX(H23,2)</f>
        <v>0x18</v>
      </c>
      <c r="J23" s="98" t="s">
        <v>131</v>
      </c>
      <c r="K23" s="99"/>
      <c r="L23" s="99"/>
      <c r="M23" s="99"/>
      <c r="N23" s="99"/>
      <c r="O23" s="99"/>
      <c r="P23" s="100"/>
      <c r="Q23" s="100"/>
      <c r="R23" s="100"/>
      <c r="S23" s="100"/>
      <c r="T23" s="100"/>
      <c r="U23" s="100"/>
      <c r="V23" s="100"/>
      <c r="W23" s="100"/>
      <c r="X23" s="100"/>
      <c r="Y23" s="100"/>
      <c r="Z23" s="100"/>
      <c r="AA23" s="100"/>
      <c r="AB23" s="100"/>
      <c r="AC23" s="100"/>
      <c r="AD23" s="100"/>
      <c r="AE23" s="100"/>
      <c r="AF23" s="100"/>
      <c r="AG23" s="101"/>
    </row>
    <row r="24" spans="6:33" ht="15" x14ac:dyDescent="0.2">
      <c r="F24" s="108" t="s">
        <v>44</v>
      </c>
      <c r="G24" s="109"/>
      <c r="H24" s="109"/>
      <c r="I24" s="110"/>
      <c r="J24" s="102"/>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4"/>
    </row>
    <row r="25" spans="6:33" ht="15" thickBot="1" x14ac:dyDescent="0.25">
      <c r="F25" s="29" t="s">
        <v>123</v>
      </c>
      <c r="G25" s="30" t="s">
        <v>9</v>
      </c>
      <c r="H25" s="31">
        <v>27</v>
      </c>
      <c r="I25" s="32" t="str">
        <f>"0x" &amp; DEC2HEX(H25,2)</f>
        <v>0x1B</v>
      </c>
      <c r="J25" s="105"/>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7"/>
    </row>
    <row r="26" spans="6:33" x14ac:dyDescent="0.2">
      <c r="F26" s="33" t="s">
        <v>49</v>
      </c>
      <c r="G26" s="34" t="s">
        <v>9</v>
      </c>
      <c r="H26" s="35">
        <v>28</v>
      </c>
      <c r="I26" s="36" t="str">
        <f>"0x" &amp; DEC2HEX(H26,2)</f>
        <v>0x1C</v>
      </c>
      <c r="J26" s="111" t="s">
        <v>132</v>
      </c>
      <c r="K26" s="112"/>
      <c r="L26" s="112"/>
      <c r="M26" s="112"/>
      <c r="N26" s="112"/>
      <c r="O26" s="112"/>
      <c r="P26" s="113"/>
      <c r="Q26" s="113"/>
      <c r="R26" s="113"/>
      <c r="S26" s="113"/>
      <c r="T26" s="113"/>
      <c r="U26" s="113"/>
      <c r="V26" s="113"/>
      <c r="W26" s="113"/>
      <c r="X26" s="113"/>
      <c r="Y26" s="113"/>
      <c r="Z26" s="113"/>
      <c r="AA26" s="113"/>
      <c r="AB26" s="113"/>
      <c r="AC26" s="113"/>
      <c r="AD26" s="113"/>
      <c r="AE26" s="113"/>
      <c r="AF26" s="113"/>
      <c r="AG26" s="114"/>
    </row>
    <row r="27" spans="6:33" ht="15" x14ac:dyDescent="0.2">
      <c r="F27" s="121" t="s">
        <v>44</v>
      </c>
      <c r="G27" s="122"/>
      <c r="H27" s="122"/>
      <c r="I27" s="123"/>
      <c r="J27" s="115"/>
      <c r="K27" s="116"/>
      <c r="L27" s="116"/>
      <c r="M27" s="116"/>
      <c r="N27" s="116"/>
      <c r="O27" s="116"/>
      <c r="P27" s="116"/>
      <c r="Q27" s="116"/>
      <c r="R27" s="116"/>
      <c r="S27" s="116"/>
      <c r="T27" s="116"/>
      <c r="U27" s="116"/>
      <c r="V27" s="116"/>
      <c r="W27" s="116"/>
      <c r="X27" s="116"/>
      <c r="Y27" s="116"/>
      <c r="Z27" s="116"/>
      <c r="AA27" s="116"/>
      <c r="AB27" s="116"/>
      <c r="AC27" s="116"/>
      <c r="AD27" s="116"/>
      <c r="AE27" s="116"/>
      <c r="AF27" s="116"/>
      <c r="AG27" s="117"/>
    </row>
    <row r="28" spans="6:33" ht="15" thickBot="1" x14ac:dyDescent="0.25">
      <c r="F28" s="37" t="s">
        <v>124</v>
      </c>
      <c r="G28" s="38" t="s">
        <v>9</v>
      </c>
      <c r="H28" s="39">
        <v>31</v>
      </c>
      <c r="I28" s="40" t="str">
        <f>"0x" &amp; DEC2HEX(H28,2)</f>
        <v>0x1F</v>
      </c>
      <c r="J28" s="118"/>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20"/>
    </row>
    <row r="29" spans="6:33" x14ac:dyDescent="0.2">
      <c r="F29" s="25" t="s">
        <v>51</v>
      </c>
      <c r="G29" s="26" t="s">
        <v>9</v>
      </c>
      <c r="H29" s="27">
        <v>32</v>
      </c>
      <c r="I29" s="28" t="str">
        <f>"0x" &amp; DEC2HEX(H29,2)</f>
        <v>0x20</v>
      </c>
      <c r="J29" s="98" t="s">
        <v>133</v>
      </c>
      <c r="K29" s="99"/>
      <c r="L29" s="99"/>
      <c r="M29" s="99"/>
      <c r="N29" s="99"/>
      <c r="O29" s="99"/>
      <c r="P29" s="100"/>
      <c r="Q29" s="100"/>
      <c r="R29" s="100"/>
      <c r="S29" s="100"/>
      <c r="T29" s="100"/>
      <c r="U29" s="100"/>
      <c r="V29" s="100"/>
      <c r="W29" s="100"/>
      <c r="X29" s="100"/>
      <c r="Y29" s="100"/>
      <c r="Z29" s="100"/>
      <c r="AA29" s="100"/>
      <c r="AB29" s="100"/>
      <c r="AC29" s="100"/>
      <c r="AD29" s="100"/>
      <c r="AE29" s="100"/>
      <c r="AF29" s="100"/>
      <c r="AG29" s="101"/>
    </row>
    <row r="30" spans="6:33" ht="15" x14ac:dyDescent="0.2">
      <c r="F30" s="108" t="s">
        <v>44</v>
      </c>
      <c r="G30" s="109"/>
      <c r="H30" s="109"/>
      <c r="I30" s="110"/>
      <c r="J30" s="102"/>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4"/>
    </row>
    <row r="31" spans="6:33" ht="15" thickBot="1" x14ac:dyDescent="0.25">
      <c r="F31" s="29" t="s">
        <v>125</v>
      </c>
      <c r="G31" s="30" t="s">
        <v>9</v>
      </c>
      <c r="H31" s="31">
        <v>35</v>
      </c>
      <c r="I31" s="32" t="str">
        <f>"0x" &amp; DEC2HEX(H31,2)</f>
        <v>0x23</v>
      </c>
      <c r="J31" s="105"/>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7"/>
    </row>
    <row r="32" spans="6:33" x14ac:dyDescent="0.2">
      <c r="F32" s="33" t="s">
        <v>52</v>
      </c>
      <c r="G32" s="34" t="s">
        <v>9</v>
      </c>
      <c r="H32" s="35">
        <v>36</v>
      </c>
      <c r="I32" s="36" t="str">
        <f>"0x" &amp; DEC2HEX(H32,2)</f>
        <v>0x24</v>
      </c>
      <c r="J32" s="111" t="s">
        <v>134</v>
      </c>
      <c r="K32" s="112"/>
      <c r="L32" s="112"/>
      <c r="M32" s="112"/>
      <c r="N32" s="112"/>
      <c r="O32" s="112"/>
      <c r="P32" s="113"/>
      <c r="Q32" s="113"/>
      <c r="R32" s="113"/>
      <c r="S32" s="113"/>
      <c r="T32" s="113"/>
      <c r="U32" s="113"/>
      <c r="V32" s="113"/>
      <c r="W32" s="113"/>
      <c r="X32" s="113"/>
      <c r="Y32" s="113"/>
      <c r="Z32" s="113"/>
      <c r="AA32" s="113"/>
      <c r="AB32" s="113"/>
      <c r="AC32" s="113"/>
      <c r="AD32" s="113"/>
      <c r="AE32" s="113"/>
      <c r="AF32" s="113"/>
      <c r="AG32" s="114"/>
    </row>
    <row r="33" spans="5:34" ht="15" x14ac:dyDescent="0.2">
      <c r="F33" s="121" t="s">
        <v>44</v>
      </c>
      <c r="G33" s="122"/>
      <c r="H33" s="122"/>
      <c r="I33" s="123"/>
      <c r="J33" s="115"/>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7"/>
    </row>
    <row r="34" spans="5:34" ht="15" thickBot="1" x14ac:dyDescent="0.25">
      <c r="F34" s="37" t="s">
        <v>126</v>
      </c>
      <c r="G34" s="38" t="s">
        <v>9</v>
      </c>
      <c r="H34" s="39">
        <v>39</v>
      </c>
      <c r="I34" s="40" t="str">
        <f>"0x" &amp; DEC2HEX(H34,2)</f>
        <v>0x27</v>
      </c>
      <c r="J34" s="118"/>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20"/>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24" t="s">
        <v>33</v>
      </c>
      <c r="AA35" s="125"/>
      <c r="AB35" s="125"/>
      <c r="AC35" s="125"/>
      <c r="AD35" s="125"/>
      <c r="AE35" s="125"/>
      <c r="AF35" s="125"/>
      <c r="AG35" s="126"/>
      <c r="AH35" t="s">
        <v>158</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158</v>
      </c>
    </row>
    <row r="37" spans="5:34" ht="15" x14ac:dyDescent="0.2">
      <c r="E37" s="3"/>
    </row>
    <row r="38" spans="5:34" ht="15" x14ac:dyDescent="0.2">
      <c r="E38" s="3"/>
    </row>
    <row r="39" spans="5:34" ht="15" x14ac:dyDescent="0.2">
      <c r="E39" s="3"/>
    </row>
  </sheetData>
  <mergeCells count="31">
    <mergeCell ref="J2:AG2"/>
    <mergeCell ref="AF9:AG9"/>
    <mergeCell ref="J3:Q3"/>
    <mergeCell ref="S3:T3"/>
    <mergeCell ref="J4:Q4"/>
    <mergeCell ref="S4:W4"/>
    <mergeCell ref="X4:AA4"/>
    <mergeCell ref="AB4:AG4"/>
    <mergeCell ref="J6:AG6"/>
    <mergeCell ref="F12:I12"/>
    <mergeCell ref="J14:AG16"/>
    <mergeCell ref="F15:I15"/>
    <mergeCell ref="N5:AG5"/>
    <mergeCell ref="J17:AG19"/>
    <mergeCell ref="F18:I18"/>
    <mergeCell ref="J11:AG13"/>
    <mergeCell ref="Z9:AE9"/>
    <mergeCell ref="N9:Y9"/>
    <mergeCell ref="X10:AG10"/>
    <mergeCell ref="R10:W10"/>
    <mergeCell ref="F21:I21"/>
    <mergeCell ref="J23:AG25"/>
    <mergeCell ref="F24:I24"/>
    <mergeCell ref="J26:AG28"/>
    <mergeCell ref="F27:I27"/>
    <mergeCell ref="J20:AG22"/>
    <mergeCell ref="J29:AG31"/>
    <mergeCell ref="F30:I30"/>
    <mergeCell ref="J32:AG34"/>
    <mergeCell ref="F33:I33"/>
    <mergeCell ref="Z35:AG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F1" zoomScale="70" zoomScaleNormal="70" workbookViewId="0">
      <selection activeCell="AL21" sqref="AL21"/>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5:38" ht="76.5" customHeight="1" x14ac:dyDescent="0.2">
      <c r="E3" s="3"/>
      <c r="F3" s="6" t="s">
        <v>10</v>
      </c>
      <c r="G3" s="7" t="s">
        <v>28</v>
      </c>
      <c r="H3" s="20">
        <v>0</v>
      </c>
      <c r="I3" s="8" t="str">
        <f t="shared" ref="I3" si="0">"0x" &amp; DEC2HEX(H3,2)</f>
        <v>0x00</v>
      </c>
      <c r="J3" s="138" t="s">
        <v>23</v>
      </c>
      <c r="K3" s="138"/>
      <c r="L3" s="138"/>
      <c r="M3" s="138"/>
      <c r="N3" s="138"/>
      <c r="O3" s="138"/>
      <c r="P3" s="138"/>
      <c r="Q3" s="138"/>
      <c r="R3" s="15" t="s">
        <v>153</v>
      </c>
      <c r="S3" s="138" t="s">
        <v>50</v>
      </c>
      <c r="T3" s="138"/>
      <c r="U3" s="15" t="s">
        <v>36</v>
      </c>
      <c r="V3" s="177" t="s">
        <v>317</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3" t="s">
        <v>201</v>
      </c>
      <c r="AJ6" s="74" t="s">
        <v>202</v>
      </c>
      <c r="AK6" s="64" t="s">
        <v>72</v>
      </c>
      <c r="AL6" s="65" t="s">
        <v>203</v>
      </c>
    </row>
    <row r="7" spans="5:38" ht="15.75" thickBot="1" x14ac:dyDescent="0.25">
      <c r="AI7" s="66" t="s">
        <v>9</v>
      </c>
      <c r="AJ7" s="75">
        <v>31</v>
      </c>
      <c r="AK7" s="67" t="s">
        <v>204</v>
      </c>
      <c r="AL7" s="68" t="s">
        <v>205</v>
      </c>
    </row>
    <row r="8" spans="5:38" ht="15.75" thickBot="1" x14ac:dyDescent="0.25">
      <c r="AI8" s="69" t="s">
        <v>206</v>
      </c>
      <c r="AJ8" s="76" t="s">
        <v>233</v>
      </c>
      <c r="AK8" s="70" t="s">
        <v>207</v>
      </c>
      <c r="AL8" s="71" t="s">
        <v>55</v>
      </c>
    </row>
    <row r="9" spans="5:38" x14ac:dyDescent="0.2">
      <c r="AI9" s="147" t="s">
        <v>23</v>
      </c>
      <c r="AJ9" s="150" t="s">
        <v>234</v>
      </c>
      <c r="AK9" s="139" t="s">
        <v>208</v>
      </c>
      <c r="AL9" s="72" t="s">
        <v>209</v>
      </c>
    </row>
    <row r="10" spans="5:38" ht="15" thickBot="1" x14ac:dyDescent="0.25">
      <c r="AI10" s="149"/>
      <c r="AJ10" s="152"/>
      <c r="AK10" s="140"/>
      <c r="AL10" s="68" t="s">
        <v>210</v>
      </c>
    </row>
    <row r="11" spans="5:38" x14ac:dyDescent="0.2">
      <c r="AI11" s="141" t="s">
        <v>153</v>
      </c>
      <c r="AJ11" s="143">
        <v>15</v>
      </c>
      <c r="AK11" s="145" t="s">
        <v>211</v>
      </c>
      <c r="AL11" s="73" t="s">
        <v>212</v>
      </c>
    </row>
    <row r="12" spans="5:38" ht="15" thickBot="1" x14ac:dyDescent="0.25">
      <c r="AI12" s="142"/>
      <c r="AJ12" s="144"/>
      <c r="AK12" s="146"/>
      <c r="AL12" s="71" t="s">
        <v>213</v>
      </c>
    </row>
    <row r="13" spans="5:38" x14ac:dyDescent="0.2">
      <c r="AI13" s="147" t="s">
        <v>50</v>
      </c>
      <c r="AJ13" s="150" t="s">
        <v>235</v>
      </c>
      <c r="AK13" s="139" t="s">
        <v>214</v>
      </c>
      <c r="AL13" s="72" t="s">
        <v>215</v>
      </c>
    </row>
    <row r="14" spans="5:38" x14ac:dyDescent="0.2">
      <c r="AI14" s="148"/>
      <c r="AJ14" s="151"/>
      <c r="AK14" s="153"/>
      <c r="AL14" s="72" t="s">
        <v>216</v>
      </c>
    </row>
    <row r="15" spans="5:38" ht="15" thickBot="1" x14ac:dyDescent="0.25">
      <c r="AI15" s="149"/>
      <c r="AJ15" s="152"/>
      <c r="AK15" s="140"/>
      <c r="AL15" s="68" t="s">
        <v>217</v>
      </c>
    </row>
    <row r="16" spans="5:38" ht="43.5" thickBot="1" x14ac:dyDescent="0.25">
      <c r="AI16" s="69" t="s">
        <v>36</v>
      </c>
      <c r="AJ16" s="76">
        <v>12</v>
      </c>
      <c r="AK16" s="70" t="s">
        <v>218</v>
      </c>
      <c r="AL16" s="71"/>
    </row>
    <row r="17" spans="35:39" ht="15.75" thickBot="1" x14ac:dyDescent="0.25">
      <c r="AI17" s="66" t="s">
        <v>317</v>
      </c>
      <c r="AJ17" s="75">
        <v>11</v>
      </c>
      <c r="AK17" s="67" t="s">
        <v>319</v>
      </c>
      <c r="AL17" s="71" t="s">
        <v>220</v>
      </c>
      <c r="AM17" s="178" t="s">
        <v>318</v>
      </c>
    </row>
    <row r="18" spans="35:39" ht="15.75" thickBot="1" x14ac:dyDescent="0.25">
      <c r="AI18" s="69" t="s">
        <v>53</v>
      </c>
      <c r="AJ18" s="76">
        <v>10</v>
      </c>
      <c r="AK18" s="70" t="s">
        <v>219</v>
      </c>
      <c r="AL18" s="71" t="s">
        <v>220</v>
      </c>
    </row>
    <row r="19" spans="35:39" ht="15.75" thickBot="1" x14ac:dyDescent="0.25">
      <c r="AI19" s="66" t="s">
        <v>20</v>
      </c>
      <c r="AJ19" s="75">
        <v>9</v>
      </c>
      <c r="AK19" s="67" t="s">
        <v>221</v>
      </c>
      <c r="AL19" s="68" t="s">
        <v>220</v>
      </c>
    </row>
    <row r="20" spans="35:39" ht="15.75" thickBot="1" x14ac:dyDescent="0.25">
      <c r="AI20" s="69" t="s">
        <v>19</v>
      </c>
      <c r="AJ20" s="76">
        <v>8</v>
      </c>
      <c r="AK20" s="70" t="s">
        <v>222</v>
      </c>
      <c r="AL20" s="71" t="s">
        <v>220</v>
      </c>
    </row>
    <row r="21" spans="35:39" ht="15.75" thickBot="1" x14ac:dyDescent="0.25">
      <c r="AI21" s="66" t="s">
        <v>18</v>
      </c>
      <c r="AJ21" s="75">
        <v>7</v>
      </c>
      <c r="AK21" s="67" t="s">
        <v>223</v>
      </c>
      <c r="AL21" s="68" t="s">
        <v>220</v>
      </c>
    </row>
    <row r="22" spans="35:39" ht="15.75" thickBot="1" x14ac:dyDescent="0.25">
      <c r="AI22" s="69" t="s">
        <v>17</v>
      </c>
      <c r="AJ22" s="76">
        <v>6</v>
      </c>
      <c r="AK22" s="70" t="s">
        <v>224</v>
      </c>
      <c r="AL22" s="71" t="s">
        <v>220</v>
      </c>
    </row>
    <row r="23" spans="35:39" ht="15.75" thickBot="1" x14ac:dyDescent="0.25">
      <c r="AI23" s="66" t="s">
        <v>225</v>
      </c>
      <c r="AJ23" s="75">
        <v>5</v>
      </c>
      <c r="AK23" s="67" t="s">
        <v>226</v>
      </c>
      <c r="AL23" s="68" t="s">
        <v>220</v>
      </c>
    </row>
    <row r="24" spans="35:39" ht="15.75" thickBot="1" x14ac:dyDescent="0.25">
      <c r="AI24" s="69" t="s">
        <v>227</v>
      </c>
      <c r="AJ24" s="76">
        <v>4</v>
      </c>
      <c r="AK24" s="70" t="s">
        <v>228</v>
      </c>
      <c r="AL24" s="71" t="s">
        <v>220</v>
      </c>
    </row>
    <row r="25" spans="35:39" ht="15.75" thickBot="1" x14ac:dyDescent="0.25">
      <c r="AI25" s="66" t="s">
        <v>14</v>
      </c>
      <c r="AJ25" s="75">
        <v>3</v>
      </c>
      <c r="AK25" s="67" t="s">
        <v>229</v>
      </c>
      <c r="AL25" s="68" t="s">
        <v>220</v>
      </c>
    </row>
    <row r="26" spans="35:39" ht="15.75" thickBot="1" x14ac:dyDescent="0.25">
      <c r="AI26" s="69" t="s">
        <v>13</v>
      </c>
      <c r="AJ26" s="76">
        <v>2</v>
      </c>
      <c r="AK26" s="70" t="s">
        <v>230</v>
      </c>
      <c r="AL26" s="71" t="s">
        <v>220</v>
      </c>
    </row>
    <row r="27" spans="35:39" ht="15.75" thickBot="1" x14ac:dyDescent="0.25">
      <c r="AI27" s="66" t="s">
        <v>12</v>
      </c>
      <c r="AJ27" s="75">
        <v>1</v>
      </c>
      <c r="AK27" s="67" t="s">
        <v>231</v>
      </c>
      <c r="AL27" s="68" t="s">
        <v>220</v>
      </c>
    </row>
    <row r="28" spans="35:39" ht="15.75" thickBot="1" x14ac:dyDescent="0.25">
      <c r="AI28" s="69" t="s">
        <v>11</v>
      </c>
      <c r="AJ28" s="76">
        <v>0</v>
      </c>
      <c r="AK28" s="70" t="s">
        <v>232</v>
      </c>
      <c r="AL28" s="71" t="s">
        <v>220</v>
      </c>
    </row>
  </sheetData>
  <mergeCells count="12">
    <mergeCell ref="J3:Q3"/>
    <mergeCell ref="S3:T3"/>
    <mergeCell ref="J2:AG2"/>
    <mergeCell ref="AI9:AI10"/>
    <mergeCell ref="AJ9:AJ10"/>
    <mergeCell ref="AK9:AK10"/>
    <mergeCell ref="AI11:AI12"/>
    <mergeCell ref="AJ11:AJ12"/>
    <mergeCell ref="AK11:AK12"/>
    <mergeCell ref="AI13:AI15"/>
    <mergeCell ref="AJ13:AJ15"/>
    <mergeCell ref="AK13:AK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60" t="s">
        <v>40</v>
      </c>
      <c r="G2" s="5" t="s">
        <v>9</v>
      </c>
      <c r="H2" s="18"/>
      <c r="I2" s="60"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5:33" ht="51.75" customHeight="1" x14ac:dyDescent="0.2">
      <c r="E3" s="3"/>
      <c r="F3" s="59" t="s">
        <v>37</v>
      </c>
      <c r="G3" s="7" t="s">
        <v>28</v>
      </c>
      <c r="H3" s="20">
        <v>1</v>
      </c>
      <c r="I3" s="8" t="str">
        <f t="shared" ref="I3" si="0">"0x" &amp; DEC2HEX(H3,2)</f>
        <v>0x01</v>
      </c>
      <c r="J3" s="138" t="s">
        <v>24</v>
      </c>
      <c r="K3" s="138"/>
      <c r="L3" s="138"/>
      <c r="M3" s="138"/>
      <c r="N3" s="138"/>
      <c r="O3" s="138"/>
      <c r="P3" s="138"/>
      <c r="Q3" s="138"/>
      <c r="R3" s="9"/>
      <c r="S3" s="138" t="s">
        <v>27</v>
      </c>
      <c r="T3" s="138"/>
      <c r="U3" s="138"/>
      <c r="V3" s="138"/>
      <c r="W3" s="138"/>
      <c r="X3" s="138" t="s">
        <v>26</v>
      </c>
      <c r="Y3" s="138"/>
      <c r="Z3" s="138"/>
      <c r="AA3" s="138"/>
      <c r="AB3" s="138" t="s">
        <v>25</v>
      </c>
      <c r="AC3" s="138"/>
      <c r="AD3" s="138"/>
      <c r="AE3" s="138"/>
      <c r="AF3" s="138"/>
      <c r="AG3" s="138"/>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
      <c r="F2" s="4" t="s">
        <v>40</v>
      </c>
      <c r="G2" s="5" t="s">
        <v>9</v>
      </c>
      <c r="H2" s="18"/>
      <c r="I2" s="4"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5:39" ht="15" x14ac:dyDescent="0.2">
      <c r="E3" s="3"/>
      <c r="F3" s="6" t="s">
        <v>22</v>
      </c>
      <c r="G3" s="7" t="s">
        <v>9</v>
      </c>
      <c r="H3" s="20">
        <v>6</v>
      </c>
      <c r="I3" s="8" t="str">
        <f t="shared" ref="I3" si="0">"0x" &amp; DEC2HEX(H3,2)</f>
        <v>0x06</v>
      </c>
      <c r="J3" s="9">
        <v>0</v>
      </c>
      <c r="K3" s="9">
        <v>0</v>
      </c>
      <c r="L3" s="9">
        <v>0</v>
      </c>
      <c r="M3" s="9">
        <v>0</v>
      </c>
      <c r="N3" s="130" t="s">
        <v>148</v>
      </c>
      <c r="O3" s="131"/>
      <c r="P3" s="131"/>
      <c r="Q3" s="131"/>
      <c r="R3" s="131"/>
      <c r="S3" s="131"/>
      <c r="T3" s="131"/>
      <c r="U3" s="131"/>
      <c r="V3" s="131"/>
      <c r="W3" s="131"/>
      <c r="X3" s="131"/>
      <c r="Y3" s="132"/>
      <c r="Z3" s="130" t="s">
        <v>147</v>
      </c>
      <c r="AA3" s="131"/>
      <c r="AB3" s="131"/>
      <c r="AC3" s="131"/>
      <c r="AD3" s="131"/>
      <c r="AE3" s="132"/>
      <c r="AF3" s="127" t="s">
        <v>5</v>
      </c>
      <c r="AG3" s="137"/>
    </row>
    <row r="4" spans="5:39" ht="15" x14ac:dyDescent="0.2">
      <c r="E4" s="3"/>
      <c r="AJ4" s="16"/>
      <c r="AK4" s="16" t="s">
        <v>71</v>
      </c>
      <c r="AL4" s="16" t="s">
        <v>77</v>
      </c>
      <c r="AM4" s="16"/>
    </row>
    <row r="5" spans="5:39" ht="30" customHeight="1" x14ac:dyDescent="0.2">
      <c r="AJ5" s="156"/>
      <c r="AK5" s="156" t="s">
        <v>5</v>
      </c>
      <c r="AL5" s="156" t="s">
        <v>85</v>
      </c>
      <c r="AM5" s="154" t="s">
        <v>149</v>
      </c>
    </row>
    <row r="6" spans="5:39" ht="27" customHeight="1" x14ac:dyDescent="0.2">
      <c r="AJ6" s="157"/>
      <c r="AK6" s="157"/>
      <c r="AL6" s="157"/>
      <c r="AM6" s="155"/>
    </row>
    <row r="7" spans="5:39" ht="32.25" customHeight="1" x14ac:dyDescent="0.2">
      <c r="AJ7" s="157"/>
      <c r="AK7" s="157"/>
      <c r="AL7" s="157"/>
      <c r="AM7" s="155"/>
    </row>
    <row r="8" spans="5:39" x14ac:dyDescent="0.2">
      <c r="AJ8" s="157"/>
      <c r="AK8" s="41" t="s">
        <v>147</v>
      </c>
      <c r="AL8" s="41" t="s">
        <v>151</v>
      </c>
      <c r="AM8" s="41" t="s">
        <v>150</v>
      </c>
    </row>
    <row r="9" spans="5:39" x14ac:dyDescent="0.2">
      <c r="AJ9" s="157"/>
      <c r="AK9" s="54" t="s">
        <v>148</v>
      </c>
      <c r="AL9" s="54" t="s">
        <v>152</v>
      </c>
      <c r="AM9" s="54" t="s">
        <v>198</v>
      </c>
    </row>
    <row r="10" spans="5:39" x14ac:dyDescent="0.2">
      <c r="AJ10" s="158"/>
      <c r="AK10" s="49" t="s">
        <v>83</v>
      </c>
      <c r="AL10" s="49" t="s">
        <v>95</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D1" zoomScale="70" zoomScaleNormal="70" workbookViewId="0">
      <selection activeCell="AQ12" sqref="AQ1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5:43" ht="58.5" customHeight="1" x14ac:dyDescent="0.2">
      <c r="E3" s="3"/>
      <c r="F3" s="6" t="s">
        <v>21</v>
      </c>
      <c r="G3" s="7" t="s">
        <v>9</v>
      </c>
      <c r="H3" s="20">
        <v>7</v>
      </c>
      <c r="I3" s="8" t="str">
        <f t="shared" ref="I3" si="0">"0x" &amp; DEC2HEX(H3,2)</f>
        <v>0x07</v>
      </c>
      <c r="J3" s="9">
        <v>0</v>
      </c>
      <c r="K3" s="9">
        <v>0</v>
      </c>
      <c r="L3" s="9">
        <v>0</v>
      </c>
      <c r="M3" s="9">
        <v>0</v>
      </c>
      <c r="N3" s="9">
        <v>0</v>
      </c>
      <c r="O3" s="9">
        <v>0</v>
      </c>
      <c r="P3" s="15" t="s">
        <v>142</v>
      </c>
      <c r="Q3" s="15" t="s">
        <v>135</v>
      </c>
      <c r="R3" s="127" t="s">
        <v>200</v>
      </c>
      <c r="S3" s="128"/>
      <c r="T3" s="128"/>
      <c r="U3" s="128"/>
      <c r="V3" s="128"/>
      <c r="W3" s="129"/>
      <c r="X3" s="127" t="s">
        <v>199</v>
      </c>
      <c r="Y3" s="128"/>
      <c r="Z3" s="128"/>
      <c r="AA3" s="128"/>
      <c r="AB3" s="128"/>
      <c r="AC3" s="128"/>
      <c r="AD3" s="128"/>
      <c r="AE3" s="128"/>
      <c r="AF3" s="128"/>
      <c r="AG3" s="129"/>
    </row>
    <row r="4" spans="5:43" ht="15" x14ac:dyDescent="0.2">
      <c r="E4" s="3"/>
      <c r="AL4" s="16"/>
      <c r="AM4" s="16" t="s">
        <v>71</v>
      </c>
      <c r="AN4" s="16" t="s">
        <v>77</v>
      </c>
      <c r="AO4" s="16" t="s">
        <v>72</v>
      </c>
      <c r="AP4" s="169" t="s">
        <v>164</v>
      </c>
      <c r="AQ4" s="129"/>
    </row>
    <row r="5" spans="5:43" x14ac:dyDescent="0.2">
      <c r="AL5" s="159" t="s">
        <v>21</v>
      </c>
      <c r="AM5" s="159" t="s">
        <v>199</v>
      </c>
      <c r="AN5" s="159" t="s">
        <v>163</v>
      </c>
      <c r="AO5" s="161" t="s">
        <v>169</v>
      </c>
      <c r="AP5" s="162" t="s">
        <v>168</v>
      </c>
      <c r="AQ5" s="163"/>
    </row>
    <row r="6" spans="5:43" ht="48.75" customHeight="1" x14ac:dyDescent="0.2">
      <c r="AL6" s="159"/>
      <c r="AM6" s="159"/>
      <c r="AN6" s="159"/>
      <c r="AO6" s="160"/>
      <c r="AP6" s="164"/>
      <c r="AQ6" s="165"/>
    </row>
    <row r="7" spans="5:43" x14ac:dyDescent="0.2">
      <c r="AL7" s="160"/>
      <c r="AM7" s="160" t="s">
        <v>200</v>
      </c>
      <c r="AN7" s="160" t="s">
        <v>82</v>
      </c>
      <c r="AO7" s="161" t="s">
        <v>170</v>
      </c>
      <c r="AP7" s="166" t="s">
        <v>167</v>
      </c>
      <c r="AQ7" s="163"/>
    </row>
    <row r="8" spans="5:43" x14ac:dyDescent="0.2">
      <c r="AL8" s="160"/>
      <c r="AM8" s="160"/>
      <c r="AN8" s="160"/>
      <c r="AO8" s="160"/>
      <c r="AP8" s="167"/>
      <c r="AQ8" s="168"/>
    </row>
    <row r="9" spans="5:43" x14ac:dyDescent="0.2">
      <c r="AL9" s="160"/>
      <c r="AM9" s="160"/>
      <c r="AN9" s="160"/>
      <c r="AO9" s="160"/>
      <c r="AP9" s="167"/>
      <c r="AQ9" s="168"/>
    </row>
    <row r="10" spans="5:43" x14ac:dyDescent="0.2">
      <c r="AL10" s="160"/>
      <c r="AM10" s="160"/>
      <c r="AN10" s="160"/>
      <c r="AO10" s="160"/>
      <c r="AP10" s="164"/>
      <c r="AQ10" s="165"/>
    </row>
    <row r="11" spans="5:43" x14ac:dyDescent="0.2">
      <c r="AL11" s="160"/>
      <c r="AM11" s="159" t="s">
        <v>135</v>
      </c>
      <c r="AN11" s="159" t="s">
        <v>166</v>
      </c>
      <c r="AO11" s="161" t="s">
        <v>146</v>
      </c>
      <c r="AP11" s="43">
        <v>0</v>
      </c>
      <c r="AQ11" s="41" t="s">
        <v>141</v>
      </c>
    </row>
    <row r="12" spans="5:43" x14ac:dyDescent="0.2">
      <c r="AL12" s="160"/>
      <c r="AM12" s="159"/>
      <c r="AN12" s="160"/>
      <c r="AO12" s="160"/>
      <c r="AP12" s="43">
        <v>1</v>
      </c>
      <c r="AQ12" s="41" t="s">
        <v>143</v>
      </c>
    </row>
    <row r="13" spans="5:43" x14ac:dyDescent="0.2">
      <c r="AL13" s="160"/>
      <c r="AM13" s="159" t="s">
        <v>142</v>
      </c>
      <c r="AN13" s="159" t="s">
        <v>165</v>
      </c>
      <c r="AO13" s="161" t="s">
        <v>171</v>
      </c>
      <c r="AP13" s="43">
        <v>0</v>
      </c>
      <c r="AQ13" s="41" t="s">
        <v>144</v>
      </c>
    </row>
    <row r="14" spans="5:43" x14ac:dyDescent="0.2">
      <c r="AL14" s="160"/>
      <c r="AM14" s="159"/>
      <c r="AN14" s="160"/>
      <c r="AO14" s="160"/>
      <c r="AP14" s="43">
        <v>1</v>
      </c>
      <c r="AQ14" s="41" t="s">
        <v>145</v>
      </c>
    </row>
    <row r="15" spans="5:43" x14ac:dyDescent="0.2">
      <c r="AL15" s="160"/>
      <c r="AM15" s="49" t="s">
        <v>83</v>
      </c>
      <c r="AN15" s="49" t="s">
        <v>84</v>
      </c>
      <c r="AO15" s="50" t="s">
        <v>100</v>
      </c>
      <c r="AP15" s="49"/>
      <c r="AQ15" s="49"/>
    </row>
  </sheetData>
  <mergeCells count="19">
    <mergeCell ref="AM13:AM14"/>
    <mergeCell ref="AN13:AN14"/>
    <mergeCell ref="AO13:AO14"/>
    <mergeCell ref="AM11:AM12"/>
    <mergeCell ref="AN11:AN12"/>
    <mergeCell ref="AO11:AO12"/>
    <mergeCell ref="J2:AG2"/>
    <mergeCell ref="AP5:AQ6"/>
    <mergeCell ref="AP7:AQ10"/>
    <mergeCell ref="AP4:AQ4"/>
    <mergeCell ref="X3:AG3"/>
    <mergeCell ref="R3:W3"/>
    <mergeCell ref="AM5:AM6"/>
    <mergeCell ref="AN5:AN6"/>
    <mergeCell ref="AO5:AO6"/>
    <mergeCell ref="AM7:AM10"/>
    <mergeCell ref="AN7:AN10"/>
    <mergeCell ref="AO7:AO10"/>
    <mergeCell ref="AL5:AL1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D2" zoomScale="70" zoomScaleNormal="70" workbookViewId="0">
      <selection activeCell="AN33" sqref="AN3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136" t="s">
        <v>7</v>
      </c>
      <c r="K2" s="136"/>
      <c r="L2" s="136"/>
      <c r="M2" s="136"/>
      <c r="N2" s="136"/>
      <c r="O2" s="136"/>
      <c r="P2" s="136"/>
      <c r="Q2" s="136"/>
      <c r="R2" s="136"/>
      <c r="S2" s="136"/>
      <c r="T2" s="136"/>
      <c r="U2" s="136"/>
      <c r="V2" s="136"/>
      <c r="W2" s="136"/>
      <c r="X2" s="136"/>
      <c r="Y2" s="136"/>
      <c r="Z2" s="136"/>
      <c r="AA2" s="136"/>
      <c r="AB2" s="136"/>
      <c r="AC2" s="136"/>
      <c r="AD2" s="136"/>
      <c r="AE2" s="136"/>
      <c r="AF2" s="136"/>
      <c r="AG2" s="136"/>
    </row>
    <row r="3" spans="5:44" ht="44.25" customHeight="1" x14ac:dyDescent="0.2">
      <c r="F3" s="6" t="s">
        <v>136</v>
      </c>
      <c r="G3" s="7" t="s">
        <v>9</v>
      </c>
      <c r="H3" s="20">
        <v>0</v>
      </c>
      <c r="I3" s="8" t="str">
        <f t="shared" ref="I3:I6" si="0">"0x" &amp; DEC2HEX(H3,2)</f>
        <v>0x00</v>
      </c>
      <c r="J3" s="11">
        <v>0</v>
      </c>
      <c r="K3" s="11">
        <v>0</v>
      </c>
      <c r="L3" s="138" t="s">
        <v>160</v>
      </c>
      <c r="M3" s="170"/>
      <c r="N3" s="170"/>
      <c r="O3" s="170"/>
      <c r="P3" s="170"/>
      <c r="Q3" s="170"/>
      <c r="R3" s="138" t="s">
        <v>1</v>
      </c>
      <c r="S3" s="170"/>
      <c r="T3" s="170"/>
      <c r="U3" s="170"/>
      <c r="V3" s="170"/>
      <c r="W3" s="170"/>
      <c r="X3" s="138" t="s">
        <v>0</v>
      </c>
      <c r="Y3" s="170"/>
      <c r="Z3" s="170"/>
      <c r="AA3" s="170"/>
      <c r="AB3" s="170"/>
      <c r="AC3" s="170"/>
      <c r="AD3" s="15" t="s">
        <v>62</v>
      </c>
      <c r="AE3" s="138" t="s">
        <v>61</v>
      </c>
      <c r="AF3" s="138"/>
      <c r="AG3" s="15" t="s">
        <v>74</v>
      </c>
    </row>
    <row r="4" spans="5:44" ht="48.75" customHeight="1" x14ac:dyDescent="0.2">
      <c r="F4" s="6" t="s">
        <v>137</v>
      </c>
      <c r="G4" s="7" t="s">
        <v>9</v>
      </c>
      <c r="H4" s="20">
        <v>1</v>
      </c>
      <c r="I4" s="8" t="str">
        <f t="shared" si="0"/>
        <v>0x01</v>
      </c>
      <c r="J4" s="11">
        <v>0</v>
      </c>
      <c r="K4" s="11">
        <v>0</v>
      </c>
      <c r="L4" s="11">
        <v>0</v>
      </c>
      <c r="M4" s="11">
        <v>0</v>
      </c>
      <c r="N4" s="138" t="s">
        <v>67</v>
      </c>
      <c r="O4" s="170"/>
      <c r="P4" s="170"/>
      <c r="Q4" s="170"/>
      <c r="R4" s="138" t="s">
        <v>66</v>
      </c>
      <c r="S4" s="170"/>
      <c r="T4" s="170"/>
      <c r="U4" s="170"/>
      <c r="V4" s="138" t="s">
        <v>68</v>
      </c>
      <c r="W4" s="170"/>
      <c r="X4" s="138" t="s">
        <v>64</v>
      </c>
      <c r="Y4" s="170"/>
      <c r="Z4" s="170"/>
      <c r="AA4" s="170"/>
      <c r="AB4" s="138" t="s">
        <v>65</v>
      </c>
      <c r="AC4" s="170"/>
      <c r="AD4" s="170"/>
      <c r="AE4" s="170"/>
      <c r="AF4" s="138" t="s">
        <v>63</v>
      </c>
      <c r="AG4" s="170"/>
    </row>
    <row r="5" spans="5:44" ht="58.5" customHeight="1" x14ac:dyDescent="0.2">
      <c r="F5" s="6" t="s">
        <v>138</v>
      </c>
      <c r="G5" s="7" t="s">
        <v>9</v>
      </c>
      <c r="H5" s="20">
        <v>2</v>
      </c>
      <c r="I5" s="8" t="str">
        <f t="shared" si="0"/>
        <v>0x02</v>
      </c>
      <c r="J5" s="11">
        <v>0</v>
      </c>
      <c r="K5" s="11">
        <v>0</v>
      </c>
      <c r="L5" s="11">
        <v>0</v>
      </c>
      <c r="M5" s="11">
        <v>0</v>
      </c>
      <c r="N5" s="11">
        <v>0</v>
      </c>
      <c r="O5" s="11">
        <v>0</v>
      </c>
      <c r="P5" s="11">
        <v>0</v>
      </c>
      <c r="Q5" s="11">
        <v>0</v>
      </c>
      <c r="R5" s="11">
        <v>0</v>
      </c>
      <c r="S5" s="11">
        <v>0</v>
      </c>
      <c r="T5" s="138" t="s">
        <v>69</v>
      </c>
      <c r="U5" s="138"/>
      <c r="V5" s="138"/>
      <c r="W5" s="138"/>
      <c r="X5" s="127" t="s">
        <v>115</v>
      </c>
      <c r="Y5" s="128"/>
      <c r="Z5" s="129"/>
      <c r="AA5" s="138" t="s">
        <v>69</v>
      </c>
      <c r="AB5" s="138"/>
      <c r="AC5" s="138"/>
      <c r="AD5" s="138"/>
      <c r="AE5" s="127" t="s">
        <v>116</v>
      </c>
      <c r="AF5" s="128"/>
      <c r="AG5" s="129"/>
    </row>
    <row r="6" spans="5:44" ht="57" customHeight="1" x14ac:dyDescent="0.2">
      <c r="F6" s="6" t="s">
        <v>139</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101</v>
      </c>
      <c r="Z6" s="169" t="s">
        <v>102</v>
      </c>
      <c r="AA6" s="128"/>
      <c r="AB6" s="128"/>
      <c r="AC6" s="128"/>
      <c r="AD6" s="128"/>
      <c r="AE6" s="128"/>
      <c r="AF6" s="128"/>
      <c r="AG6" s="129"/>
    </row>
    <row r="7" spans="5:44" ht="15" x14ac:dyDescent="0.2">
      <c r="E7" s="3"/>
    </row>
    <row r="8" spans="5:44" ht="15" x14ac:dyDescent="0.2">
      <c r="E8" s="3"/>
      <c r="AL8" s="16"/>
      <c r="AM8" s="16" t="s">
        <v>71</v>
      </c>
      <c r="AN8" s="16" t="s">
        <v>77</v>
      </c>
      <c r="AO8" s="16" t="s">
        <v>72</v>
      </c>
      <c r="AP8" s="16"/>
      <c r="AQ8" s="16"/>
      <c r="AR8" s="62" t="s">
        <v>315</v>
      </c>
    </row>
    <row r="9" spans="5:44" x14ac:dyDescent="0.2">
      <c r="AL9" s="159" t="s">
        <v>136</v>
      </c>
      <c r="AM9" s="159" t="s">
        <v>74</v>
      </c>
      <c r="AN9" s="159" t="s">
        <v>78</v>
      </c>
      <c r="AO9" s="161" t="s">
        <v>73</v>
      </c>
      <c r="AP9" s="43">
        <v>0</v>
      </c>
      <c r="AQ9" s="44" t="s">
        <v>59</v>
      </c>
      <c r="AR9" s="62"/>
    </row>
    <row r="10" spans="5:44" x14ac:dyDescent="0.2">
      <c r="AL10" s="159"/>
      <c r="AM10" s="159"/>
      <c r="AN10" s="159"/>
      <c r="AO10" s="160"/>
      <c r="AP10" s="43">
        <v>1</v>
      </c>
      <c r="AQ10" s="44" t="s">
        <v>60</v>
      </c>
      <c r="AR10" s="62"/>
    </row>
    <row r="11" spans="5:44" x14ac:dyDescent="0.2">
      <c r="AL11" s="160"/>
      <c r="AM11" s="160" t="s">
        <v>61</v>
      </c>
      <c r="AN11" s="160" t="s">
        <v>79</v>
      </c>
      <c r="AO11" s="161" t="s">
        <v>75</v>
      </c>
      <c r="AP11" s="41" t="s">
        <v>55</v>
      </c>
      <c r="AQ11" s="41" t="s">
        <v>54</v>
      </c>
      <c r="AR11" s="62"/>
    </row>
    <row r="12" spans="5:44" x14ac:dyDescent="0.2">
      <c r="AL12" s="160"/>
      <c r="AM12" s="160"/>
      <c r="AN12" s="160"/>
      <c r="AO12" s="160"/>
      <c r="AP12" s="44" t="s">
        <v>56</v>
      </c>
      <c r="AQ12" s="41" t="s">
        <v>3</v>
      </c>
      <c r="AR12" s="62"/>
    </row>
    <row r="13" spans="5:44" x14ac:dyDescent="0.2">
      <c r="AL13" s="160"/>
      <c r="AM13" s="160"/>
      <c r="AN13" s="160"/>
      <c r="AO13" s="160"/>
      <c r="AP13" s="44" t="s">
        <v>57</v>
      </c>
      <c r="AQ13" s="41" t="s">
        <v>4</v>
      </c>
      <c r="AR13" s="62"/>
    </row>
    <row r="14" spans="5:44" x14ac:dyDescent="0.2">
      <c r="AL14" s="160"/>
      <c r="AM14" s="160"/>
      <c r="AN14" s="160"/>
      <c r="AO14" s="160"/>
      <c r="AP14" s="44" t="s">
        <v>58</v>
      </c>
      <c r="AQ14" s="41" t="s">
        <v>118</v>
      </c>
      <c r="AR14" s="62"/>
    </row>
    <row r="15" spans="5:44" x14ac:dyDescent="0.2">
      <c r="AL15" s="160"/>
      <c r="AM15" s="159" t="s">
        <v>62</v>
      </c>
      <c r="AN15" s="159" t="s">
        <v>80</v>
      </c>
      <c r="AO15" s="161" t="s">
        <v>76</v>
      </c>
      <c r="AP15" s="43">
        <v>0</v>
      </c>
      <c r="AQ15" s="41" t="s">
        <v>54</v>
      </c>
      <c r="AR15" s="62"/>
    </row>
    <row r="16" spans="5:44" x14ac:dyDescent="0.2">
      <c r="AL16" s="160"/>
      <c r="AM16" s="159"/>
      <c r="AN16" s="160"/>
      <c r="AO16" s="160"/>
      <c r="AP16" s="43">
        <v>1</v>
      </c>
      <c r="AQ16" s="41" t="s">
        <v>2</v>
      </c>
      <c r="AR16" s="62"/>
    </row>
    <row r="17" spans="38:44" ht="28.5" x14ac:dyDescent="0.2">
      <c r="AL17" s="160"/>
      <c r="AM17" s="44" t="s">
        <v>0</v>
      </c>
      <c r="AN17" s="44" t="s">
        <v>81</v>
      </c>
      <c r="AO17" s="42" t="s">
        <v>117</v>
      </c>
      <c r="AP17" s="44"/>
      <c r="AQ17" s="44"/>
      <c r="AR17" s="62"/>
    </row>
    <row r="18" spans="38:44" ht="28.5" x14ac:dyDescent="0.2">
      <c r="AL18" s="160"/>
      <c r="AM18" s="53" t="s">
        <v>1</v>
      </c>
      <c r="AN18" s="53" t="s">
        <v>82</v>
      </c>
      <c r="AO18" s="52" t="s">
        <v>161</v>
      </c>
      <c r="AP18" s="53"/>
      <c r="AQ18" s="53"/>
      <c r="AR18" s="62"/>
    </row>
    <row r="19" spans="38:44" ht="28.5" x14ac:dyDescent="0.2">
      <c r="AL19" s="160"/>
      <c r="AM19" s="44" t="s">
        <v>160</v>
      </c>
      <c r="AN19" s="44" t="s">
        <v>140</v>
      </c>
      <c r="AO19" s="42" t="s">
        <v>162</v>
      </c>
      <c r="AP19" s="44"/>
      <c r="AQ19" s="44"/>
      <c r="AR19" s="62"/>
    </row>
    <row r="20" spans="38:44" x14ac:dyDescent="0.2">
      <c r="AL20" s="160"/>
      <c r="AM20" s="49" t="s">
        <v>83</v>
      </c>
      <c r="AN20" s="49" t="s">
        <v>292</v>
      </c>
      <c r="AO20" s="50" t="s">
        <v>100</v>
      </c>
      <c r="AP20" s="49"/>
      <c r="AQ20" s="49"/>
      <c r="AR20" s="78" t="s">
        <v>305</v>
      </c>
    </row>
    <row r="21" spans="38:44" ht="30" customHeight="1" x14ac:dyDescent="0.2">
      <c r="AL21" s="171" t="s">
        <v>137</v>
      </c>
      <c r="AM21" s="45" t="s">
        <v>63</v>
      </c>
      <c r="AN21" s="45" t="s">
        <v>85</v>
      </c>
      <c r="AO21" s="46" t="s">
        <v>86</v>
      </c>
      <c r="AP21" s="47"/>
      <c r="AQ21" s="47"/>
      <c r="AR21" s="62"/>
    </row>
    <row r="22" spans="38:44" ht="28.5" x14ac:dyDescent="0.2">
      <c r="AL22" s="171"/>
      <c r="AM22" s="45" t="s">
        <v>65</v>
      </c>
      <c r="AN22" s="45" t="s">
        <v>92</v>
      </c>
      <c r="AO22" s="46" t="s">
        <v>88</v>
      </c>
      <c r="AP22" s="47"/>
      <c r="AQ22" s="47"/>
      <c r="AR22" s="62"/>
    </row>
    <row r="23" spans="38:44" ht="28.5" x14ac:dyDescent="0.2">
      <c r="AL23" s="173"/>
      <c r="AM23" s="45" t="s">
        <v>64</v>
      </c>
      <c r="AN23" s="45" t="s">
        <v>93</v>
      </c>
      <c r="AO23" s="46" t="s">
        <v>87</v>
      </c>
      <c r="AP23" s="47"/>
      <c r="AQ23" s="47"/>
      <c r="AR23" s="62"/>
    </row>
    <row r="24" spans="38:44" ht="28.5" x14ac:dyDescent="0.2">
      <c r="AL24" s="173"/>
      <c r="AM24" s="45" t="s">
        <v>68</v>
      </c>
      <c r="AN24" s="45" t="s">
        <v>94</v>
      </c>
      <c r="AO24" s="46" t="s">
        <v>89</v>
      </c>
      <c r="AP24" s="47"/>
      <c r="AQ24" s="47"/>
      <c r="AR24" s="62"/>
    </row>
    <row r="25" spans="38:44" ht="28.5" x14ac:dyDescent="0.2">
      <c r="AL25" s="173"/>
      <c r="AM25" s="45" t="s">
        <v>66</v>
      </c>
      <c r="AN25" s="45" t="s">
        <v>237</v>
      </c>
      <c r="AO25" s="46" t="s">
        <v>91</v>
      </c>
      <c r="AP25" s="47"/>
      <c r="AQ25" s="47"/>
      <c r="AR25" s="78" t="s">
        <v>304</v>
      </c>
    </row>
    <row r="26" spans="38:44" ht="28.5" x14ac:dyDescent="0.2">
      <c r="AL26" s="173"/>
      <c r="AM26" s="45" t="s">
        <v>67</v>
      </c>
      <c r="AN26" s="45" t="s">
        <v>238</v>
      </c>
      <c r="AO26" s="46" t="s">
        <v>90</v>
      </c>
      <c r="AP26" s="47"/>
      <c r="AQ26" s="47"/>
      <c r="AR26" s="78" t="s">
        <v>306</v>
      </c>
    </row>
    <row r="27" spans="38:44" x14ac:dyDescent="0.2">
      <c r="AL27" s="173"/>
      <c r="AM27" s="49" t="s">
        <v>83</v>
      </c>
      <c r="AN27" s="49" t="s">
        <v>95</v>
      </c>
      <c r="AO27" s="50" t="s">
        <v>100</v>
      </c>
      <c r="AP27" s="51"/>
      <c r="AQ27" s="51"/>
      <c r="AR27" s="62"/>
    </row>
    <row r="28" spans="38:44" ht="15" customHeight="1" x14ac:dyDescent="0.2">
      <c r="AL28" s="160" t="s">
        <v>138</v>
      </c>
      <c r="AM28" s="160" t="s">
        <v>116</v>
      </c>
      <c r="AN28" s="160" t="s">
        <v>103</v>
      </c>
      <c r="AO28" s="161" t="s">
        <v>99</v>
      </c>
      <c r="AP28" s="48" t="s">
        <v>55</v>
      </c>
      <c r="AQ28" s="48" t="s">
        <v>110</v>
      </c>
      <c r="AR28" s="62"/>
    </row>
    <row r="29" spans="38:44" x14ac:dyDescent="0.2">
      <c r="AL29" s="160"/>
      <c r="AM29" s="160"/>
      <c r="AN29" s="160"/>
      <c r="AO29" s="161"/>
      <c r="AP29" s="48" t="s">
        <v>56</v>
      </c>
      <c r="AQ29" s="48" t="s">
        <v>111</v>
      </c>
      <c r="AR29" s="62"/>
    </row>
    <row r="30" spans="38:44" x14ac:dyDescent="0.2">
      <c r="AL30" s="160"/>
      <c r="AM30" s="172"/>
      <c r="AN30" s="172"/>
      <c r="AO30" s="172"/>
      <c r="AP30" s="48" t="s">
        <v>57</v>
      </c>
      <c r="AQ30" s="48" t="s">
        <v>112</v>
      </c>
      <c r="AR30" s="62"/>
    </row>
    <row r="31" spans="38:44" x14ac:dyDescent="0.2">
      <c r="AL31" s="160"/>
      <c r="AM31" s="172"/>
      <c r="AN31" s="172"/>
      <c r="AO31" s="172"/>
      <c r="AP31" s="48" t="s">
        <v>58</v>
      </c>
      <c r="AQ31" s="48" t="s">
        <v>113</v>
      </c>
      <c r="AR31" s="62"/>
    </row>
    <row r="32" spans="38:44" x14ac:dyDescent="0.2">
      <c r="AL32" s="160"/>
      <c r="AM32" s="172"/>
      <c r="AN32" s="172"/>
      <c r="AO32" s="172"/>
      <c r="AP32" s="48" t="s">
        <v>104</v>
      </c>
      <c r="AQ32" s="48" t="s">
        <v>114</v>
      </c>
      <c r="AR32" s="62"/>
    </row>
    <row r="33" spans="38:44" ht="42.75" x14ac:dyDescent="0.2">
      <c r="AL33" s="160"/>
      <c r="AM33" s="44" t="s">
        <v>69</v>
      </c>
      <c r="AN33" s="44" t="s">
        <v>239</v>
      </c>
      <c r="AO33" s="42" t="s">
        <v>96</v>
      </c>
      <c r="AP33" s="48"/>
      <c r="AQ33" s="48"/>
      <c r="AR33" s="78" t="s">
        <v>304</v>
      </c>
    </row>
    <row r="34" spans="38:44" ht="15" customHeight="1" x14ac:dyDescent="0.2">
      <c r="AL34" s="160"/>
      <c r="AM34" s="160" t="s">
        <v>115</v>
      </c>
      <c r="AN34" s="160" t="s">
        <v>240</v>
      </c>
      <c r="AO34" s="161" t="s">
        <v>97</v>
      </c>
      <c r="AP34" s="48" t="s">
        <v>55</v>
      </c>
      <c r="AQ34" s="48" t="s">
        <v>105</v>
      </c>
      <c r="AR34" s="174" t="s">
        <v>307</v>
      </c>
    </row>
    <row r="35" spans="38:44" x14ac:dyDescent="0.2">
      <c r="AL35" s="160"/>
      <c r="AM35" s="160"/>
      <c r="AN35" s="160"/>
      <c r="AO35" s="161"/>
      <c r="AP35" s="48" t="s">
        <v>56</v>
      </c>
      <c r="AQ35" s="48" t="s">
        <v>106</v>
      </c>
      <c r="AR35" s="89"/>
    </row>
    <row r="36" spans="38:44" x14ac:dyDescent="0.2">
      <c r="AL36" s="160"/>
      <c r="AM36" s="172"/>
      <c r="AN36" s="172"/>
      <c r="AO36" s="172"/>
      <c r="AP36" s="48" t="s">
        <v>57</v>
      </c>
      <c r="AQ36" s="48" t="s">
        <v>107</v>
      </c>
      <c r="AR36" s="89"/>
    </row>
    <row r="37" spans="38:44" x14ac:dyDescent="0.2">
      <c r="AL37" s="160"/>
      <c r="AM37" s="172"/>
      <c r="AN37" s="172"/>
      <c r="AO37" s="172"/>
      <c r="AP37" s="48" t="s">
        <v>58</v>
      </c>
      <c r="AQ37" s="48" t="s">
        <v>108</v>
      </c>
      <c r="AR37" s="89"/>
    </row>
    <row r="38" spans="38:44" x14ac:dyDescent="0.2">
      <c r="AL38" s="160"/>
      <c r="AM38" s="172"/>
      <c r="AN38" s="172"/>
      <c r="AO38" s="172"/>
      <c r="AP38" s="48" t="s">
        <v>104</v>
      </c>
      <c r="AQ38" s="48" t="s">
        <v>109</v>
      </c>
      <c r="AR38" s="89"/>
    </row>
    <row r="39" spans="38:44" ht="42.75" x14ac:dyDescent="0.2">
      <c r="AL39" s="160"/>
      <c r="AM39" s="44" t="s">
        <v>70</v>
      </c>
      <c r="AN39" s="44" t="s">
        <v>241</v>
      </c>
      <c r="AO39" s="42" t="s">
        <v>98</v>
      </c>
      <c r="AP39" s="48"/>
      <c r="AQ39" s="48"/>
      <c r="AR39" s="78" t="s">
        <v>308</v>
      </c>
    </row>
    <row r="40" spans="38:44" x14ac:dyDescent="0.2">
      <c r="AL40" s="170"/>
      <c r="AM40" s="49" t="s">
        <v>83</v>
      </c>
      <c r="AN40" s="49" t="s">
        <v>242</v>
      </c>
      <c r="AO40" s="50" t="s">
        <v>100</v>
      </c>
      <c r="AP40" s="51"/>
      <c r="AQ40" s="51"/>
      <c r="AR40" s="78" t="s">
        <v>309</v>
      </c>
    </row>
    <row r="41" spans="38:44" ht="68.25" customHeight="1" x14ac:dyDescent="0.2">
      <c r="AL41" s="171" t="s">
        <v>139</v>
      </c>
      <c r="AM41" s="45" t="s">
        <v>102</v>
      </c>
      <c r="AN41" s="45" t="s">
        <v>175</v>
      </c>
      <c r="AO41" s="46" t="s">
        <v>172</v>
      </c>
      <c r="AP41" s="47"/>
      <c r="AQ41" s="47" t="s">
        <v>174</v>
      </c>
      <c r="AR41" s="62"/>
    </row>
    <row r="42" spans="38:44" x14ac:dyDescent="0.2">
      <c r="AL42" s="171"/>
      <c r="AM42" s="45" t="s">
        <v>101</v>
      </c>
      <c r="AN42" s="45" t="s">
        <v>176</v>
      </c>
      <c r="AO42" s="55" t="s">
        <v>173</v>
      </c>
      <c r="AP42" s="47"/>
      <c r="AQ42" s="47"/>
      <c r="AR42" s="62"/>
    </row>
    <row r="43" spans="38:44" x14ac:dyDescent="0.2">
      <c r="AL43" s="171"/>
      <c r="AM43" s="49" t="s">
        <v>83</v>
      </c>
      <c r="AN43" s="49" t="s">
        <v>177</v>
      </c>
      <c r="AO43" s="50" t="s">
        <v>100</v>
      </c>
      <c r="AP43" s="51"/>
      <c r="AQ43" s="51"/>
      <c r="AR43" s="62"/>
    </row>
  </sheetData>
  <mergeCells count="36">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 ref="AL41:AL43"/>
    <mergeCell ref="AM28:AM32"/>
    <mergeCell ref="AM9:AM10"/>
    <mergeCell ref="AM11:AM14"/>
    <mergeCell ref="AM15:AM16"/>
    <mergeCell ref="AL9:AL20"/>
    <mergeCell ref="AL21:AL27"/>
    <mergeCell ref="AL28:AL40"/>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75" t="s">
        <v>191</v>
      </c>
      <c r="G2" s="176"/>
      <c r="H2" s="176"/>
      <c r="I2" s="176"/>
    </row>
    <row r="3" spans="5:9" ht="15" x14ac:dyDescent="0.2">
      <c r="E3" s="3"/>
      <c r="F3" s="62"/>
      <c r="G3" s="62" t="s">
        <v>181</v>
      </c>
      <c r="H3" s="62" t="s">
        <v>183</v>
      </c>
      <c r="I3" s="62" t="s">
        <v>184</v>
      </c>
    </row>
    <row r="4" spans="5:9" ht="30" customHeight="1" x14ac:dyDescent="0.2">
      <c r="F4" s="62" t="s">
        <v>179</v>
      </c>
      <c r="G4" s="62" t="s">
        <v>182</v>
      </c>
      <c r="H4" s="62" t="s">
        <v>185</v>
      </c>
      <c r="I4" s="62" t="s">
        <v>186</v>
      </c>
    </row>
    <row r="5" spans="5:9" ht="27" customHeight="1" x14ac:dyDescent="0.2">
      <c r="F5" s="62" t="s">
        <v>180</v>
      </c>
      <c r="G5" s="62" t="s">
        <v>182</v>
      </c>
      <c r="H5" s="62" t="s">
        <v>187</v>
      </c>
      <c r="I5" s="62" t="s">
        <v>189</v>
      </c>
    </row>
    <row r="6" spans="5:9" ht="32.25" customHeight="1" x14ac:dyDescent="0.2">
      <c r="F6" s="62" t="s">
        <v>178</v>
      </c>
      <c r="G6" s="62" t="s">
        <v>182</v>
      </c>
      <c r="H6" s="62" t="s">
        <v>188</v>
      </c>
      <c r="I6" s="62" t="s">
        <v>190</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2025-08-06T05:18:11Z</dcterms:modified>
</cp:coreProperties>
</file>